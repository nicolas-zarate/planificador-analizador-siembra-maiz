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zarate\Desktop\proyeccion\"/>
    </mc:Choice>
  </mc:AlternateContent>
  <bookViews>
    <workbookView xWindow="0" yWindow="0" windowWidth="28800" windowHeight="12180" activeTab="1"/>
  </bookViews>
  <sheets>
    <sheet name="DATOS" sheetId="6" r:id="rId1"/>
    <sheet name="Analisis Siembra MZ" sheetId="10" r:id="rId2"/>
  </sheets>
  <definedNames>
    <definedName name="DatosExternos_1" localSheetId="0" hidden="1">DATOS!$A$1:$D$394</definedName>
  </definedNames>
  <calcPr calcId="162913"/>
</workbook>
</file>

<file path=xl/calcChain.xml><?xml version="1.0" encoding="utf-8"?>
<calcChain xmlns="http://schemas.openxmlformats.org/spreadsheetml/2006/main">
  <c r="H17" i="10" l="1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16" i="10"/>
  <c r="K70" i="10" l="1"/>
  <c r="L72" i="10"/>
  <c r="L71" i="10"/>
  <c r="D11" i="10" l="1"/>
  <c r="C63" i="10" l="1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D51" i="10" l="1"/>
  <c r="D49" i="10"/>
  <c r="D63" i="10"/>
  <c r="D62" i="10"/>
  <c r="D52" i="10" l="1"/>
  <c r="D50" i="10"/>
  <c r="D53" i="10"/>
  <c r="D54" i="10"/>
  <c r="D55" i="10"/>
  <c r="D58" i="10"/>
  <c r="D56" i="10"/>
  <c r="D60" i="10"/>
  <c r="D59" i="10"/>
  <c r="D57" i="10"/>
  <c r="D61" i="10"/>
</calcChain>
</file>

<file path=xl/connections.xml><?xml version="1.0" encoding="utf-8"?>
<connections xmlns="http://schemas.openxmlformats.org/spreadsheetml/2006/main">
  <connection id="1" keepAlive="1" name="Consulta - 2526 FULL" description="Conexión a la consulta '2526 FULL' en el libro." type="5" refreshedVersion="6" background="1" saveData="1">
    <dbPr connection="Provider=Microsoft.Mashup.OleDb.1;Data Source=$Workbook$;Location=2526 FULL;Extended Properties=&quot;&quot;" command="SELECT * FROM [2526 FULL]"/>
  </connection>
</connections>
</file>

<file path=xl/sharedStrings.xml><?xml version="1.0" encoding="utf-8"?>
<sst xmlns="http://schemas.openxmlformats.org/spreadsheetml/2006/main" count="52" uniqueCount="47">
  <si>
    <t>FECHA</t>
  </si>
  <si>
    <t>Temp MAX</t>
  </si>
  <si>
    <t>Temp MIN</t>
  </si>
  <si>
    <t>Temp MEDIA</t>
  </si>
  <si>
    <t>Lote</t>
  </si>
  <si>
    <t>Hibrido</t>
  </si>
  <si>
    <t>Inicio periodo critico</t>
  </si>
  <si>
    <t>Dias criticos</t>
  </si>
  <si>
    <t>Fin periodo critico</t>
  </si>
  <si>
    <t>DK 7272</t>
  </si>
  <si>
    <t>BRV 8380</t>
  </si>
  <si>
    <t>MM</t>
  </si>
  <si>
    <t>LOTE</t>
  </si>
  <si>
    <t>HIBRIDO</t>
  </si>
  <si>
    <t>FECHA SIEMBRA</t>
  </si>
  <si>
    <t>GD Acumulado</t>
  </si>
  <si>
    <t>FECHA FLORACION</t>
  </si>
  <si>
    <t>TEMP BASE</t>
  </si>
  <si>
    <t>GD Diarios (10)</t>
  </si>
  <si>
    <t>GD Diarios (8)</t>
  </si>
  <si>
    <t>GD Acumulado (8)</t>
  </si>
  <si>
    <t>Latitud:</t>
  </si>
  <si>
    <t>Longitud</t>
  </si>
  <si>
    <t>Fecha Inicio</t>
  </si>
  <si>
    <t>Fecha Fin</t>
  </si>
  <si>
    <t>-63,297</t>
  </si>
  <si>
    <t>La Carlota, Córdoba</t>
  </si>
  <si>
    <t>UBICACIÓN PARA EL CLIMA</t>
  </si>
  <si>
    <t>* Hibrdo</t>
  </si>
  <si>
    <t>* Grados dia a floración</t>
  </si>
  <si>
    <t>* Temperatura base</t>
  </si>
  <si>
    <t>COMPLETAR CON:</t>
  </si>
  <si>
    <t>* Lote</t>
  </si>
  <si>
    <t>Fuente: open-meteo.com</t>
  </si>
  <si>
    <t>-33,419</t>
  </si>
  <si>
    <r>
      <t xml:space="preserve">* Cargar Latitud, Longitud. </t>
    </r>
    <r>
      <rPr>
        <sz val="10"/>
        <color theme="7"/>
        <rFont val="Calibri"/>
        <family val="2"/>
        <scheme val="minor"/>
      </rPr>
      <t>Trae el clima entre las fechas de inicio y fin.</t>
    </r>
  </si>
  <si>
    <t>A los grados dias, le suma 5 dias que es el promedio que demora en emerger</t>
  </si>
  <si>
    <r>
      <t xml:space="preserve">* Fecha de siembra </t>
    </r>
    <r>
      <rPr>
        <b/>
        <sz val="10"/>
        <color theme="7"/>
        <rFont val="Calibri"/>
        <family val="2"/>
        <scheme val="minor"/>
      </rPr>
      <t>(SOLO 2025)</t>
    </r>
  </si>
  <si>
    <t>GDD A FLORACION</t>
  </si>
  <si>
    <t>AX 7761</t>
  </si>
  <si>
    <t>NK 825</t>
  </si>
  <si>
    <t>DK 7447</t>
  </si>
  <si>
    <t>NK 870</t>
  </si>
  <si>
    <t>DOU 225 PWU</t>
  </si>
  <si>
    <t>NS 7921</t>
  </si>
  <si>
    <t>BRV 8421</t>
  </si>
  <si>
    <t>NS 7921- DK 7272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</si>
</sst>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dd/mm/yyyy;@"/>
    <numFmt numFmtId="166" formatCode="dd/mm/yyyy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7"/>
      <name val="Calibri"/>
      <family val="2"/>
      <scheme val="minor"/>
    </font>
    <font>
      <b/>
      <sz val="10"/>
      <color theme="7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8" fillId="0" borderId="0"/>
  </cellStyleXfs>
  <cellXfs count="58">
    <xf numFmtId="0" fontId="0" fillId="0" borderId="0" xfId="0"/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3" fillId="33" borderId="10" xfId="0" applyFont="1" applyFill="1" applyBorder="1" applyAlignment="1">
      <alignment horizontal="center"/>
    </xf>
    <xf numFmtId="165" fontId="0" fillId="0" borderId="0" xfId="0" applyNumberFormat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NumberFormat="1" applyAlignment="1">
      <alignment horizontal="center" vertical="center"/>
    </xf>
    <xf numFmtId="0" fontId="13" fillId="33" borderId="0" xfId="0" applyFont="1" applyFill="1" applyAlignment="1">
      <alignment horizontal="center"/>
    </xf>
    <xf numFmtId="0" fontId="13" fillId="35" borderId="11" xfId="0" applyNumberFormat="1" applyFont="1" applyFill="1" applyBorder="1" applyAlignment="1">
      <alignment horizontal="center" vertical="center"/>
    </xf>
    <xf numFmtId="164" fontId="0" fillId="36" borderId="11" xfId="0" applyNumberFormat="1" applyFont="1" applyFill="1" applyBorder="1"/>
    <xf numFmtId="164" fontId="0" fillId="0" borderId="11" xfId="0" applyNumberFormat="1" applyFont="1" applyBorder="1"/>
    <xf numFmtId="0" fontId="13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6" fontId="0" fillId="0" borderId="0" xfId="0" applyNumberFormat="1"/>
    <xf numFmtId="0" fontId="13" fillId="37" borderId="10" xfId="0" applyFont="1" applyFill="1" applyBorder="1" applyAlignment="1">
      <alignment horizontal="center"/>
    </xf>
    <xf numFmtId="0" fontId="13" fillId="37" borderId="10" xfId="0" applyFont="1" applyFill="1" applyBorder="1" applyAlignment="1">
      <alignment horizontal="center" vertical="center"/>
    </xf>
    <xf numFmtId="0" fontId="13" fillId="38" borderId="10" xfId="0" applyFont="1" applyFill="1" applyBorder="1" applyAlignment="1">
      <alignment horizontal="center"/>
    </xf>
    <xf numFmtId="0" fontId="13" fillId="38" borderId="10" xfId="0" applyFont="1" applyFill="1" applyBorder="1" applyAlignment="1">
      <alignment horizontal="center" vertical="center"/>
    </xf>
    <xf numFmtId="3" fontId="0" fillId="0" borderId="0" xfId="0" applyNumberFormat="1"/>
    <xf numFmtId="0" fontId="17" fillId="0" borderId="0" xfId="0" applyFont="1" applyFill="1" applyBorder="1"/>
    <xf numFmtId="14" fontId="17" fillId="0" borderId="0" xfId="0" applyNumberFormat="1" applyFont="1" applyFill="1" applyBorder="1"/>
    <xf numFmtId="2" fontId="17" fillId="0" borderId="0" xfId="0" applyNumberFormat="1" applyFont="1" applyFill="1" applyBorder="1"/>
    <xf numFmtId="49" fontId="0" fillId="0" borderId="10" xfId="0" applyNumberFormat="1" applyBorder="1" applyAlignment="1" applyProtection="1">
      <alignment horizontal="center" vertical="center"/>
      <protection locked="0"/>
    </xf>
    <xf numFmtId="14" fontId="0" fillId="0" borderId="10" xfId="0" applyNumberFormat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34" borderId="10" xfId="0" applyFill="1" applyBorder="1" applyAlignment="1" applyProtection="1">
      <alignment horizontal="center"/>
      <protection locked="0"/>
    </xf>
    <xf numFmtId="14" fontId="0" fillId="34" borderId="10" xfId="0" applyNumberFormat="1" applyFill="1" applyBorder="1" applyAlignment="1" applyProtection="1">
      <alignment horizontal="center"/>
      <protection locked="0"/>
    </xf>
    <xf numFmtId="0" fontId="0" fillId="34" borderId="12" xfId="0" applyFill="1" applyBorder="1" applyAlignment="1" applyProtection="1">
      <alignment horizontal="center"/>
      <protection locked="0"/>
    </xf>
    <xf numFmtId="165" fontId="16" fillId="0" borderId="10" xfId="0" applyNumberFormat="1" applyFont="1" applyBorder="1" applyAlignment="1" applyProtection="1">
      <alignment horizontal="center"/>
      <protection hidden="1"/>
    </xf>
    <xf numFmtId="165" fontId="16" fillId="34" borderId="10" xfId="0" applyNumberFormat="1" applyFont="1" applyFill="1" applyBorder="1" applyAlignment="1" applyProtection="1">
      <alignment horizontal="center"/>
      <protection hidden="1"/>
    </xf>
    <xf numFmtId="14" fontId="20" fillId="34" borderId="10" xfId="0" applyNumberFormat="1" applyFont="1" applyFill="1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19" fillId="0" borderId="0" xfId="0" applyFont="1" applyProtection="1">
      <protection hidden="1"/>
    </xf>
    <xf numFmtId="0" fontId="17" fillId="0" borderId="0" xfId="0" applyFont="1" applyFill="1" applyBorder="1" applyProtection="1">
      <protection hidden="1"/>
    </xf>
    <xf numFmtId="0" fontId="13" fillId="0" borderId="0" xfId="0" applyFont="1" applyFill="1" applyBorder="1" applyAlignment="1" applyProtection="1">
      <alignment horizontal="center"/>
      <protection hidden="1"/>
    </xf>
    <xf numFmtId="165" fontId="13" fillId="0" borderId="0" xfId="0" applyNumberFormat="1" applyFont="1" applyFill="1" applyBorder="1" applyAlignment="1" applyProtection="1">
      <alignment horizontal="center"/>
      <protection hidden="1"/>
    </xf>
    <xf numFmtId="0" fontId="17" fillId="0" borderId="0" xfId="0" applyFont="1" applyFill="1" applyBorder="1" applyAlignment="1" applyProtection="1">
      <alignment horizontal="center"/>
      <protection hidden="1"/>
    </xf>
    <xf numFmtId="165" fontId="17" fillId="0" borderId="0" xfId="0" applyNumberFormat="1" applyFont="1" applyFill="1" applyBorder="1" applyAlignment="1" applyProtection="1">
      <alignment horizontal="center"/>
      <protection hidden="1"/>
    </xf>
    <xf numFmtId="164" fontId="17" fillId="0" borderId="0" xfId="0" applyNumberFormat="1" applyFont="1" applyFill="1" applyBorder="1" applyAlignment="1" applyProtection="1">
      <alignment horizontal="center"/>
      <protection hidden="1"/>
    </xf>
    <xf numFmtId="0" fontId="24" fillId="38" borderId="0" xfId="0" applyFont="1" applyFill="1" applyAlignment="1">
      <alignment horizontal="left" vertical="center"/>
    </xf>
    <xf numFmtId="0" fontId="17" fillId="38" borderId="0" xfId="0" applyFont="1" applyFill="1"/>
    <xf numFmtId="49" fontId="22" fillId="38" borderId="0" xfId="0" applyNumberFormat="1" applyFont="1" applyFill="1" applyAlignment="1">
      <alignment horizontal="left" vertical="center"/>
    </xf>
    <xf numFmtId="0" fontId="22" fillId="38" borderId="0" xfId="0" applyFont="1" applyFill="1" applyAlignment="1">
      <alignment horizontal="left" vertical="center"/>
    </xf>
    <xf numFmtId="14" fontId="17" fillId="38" borderId="0" xfId="0" applyNumberFormat="1" applyFont="1" applyFill="1"/>
    <xf numFmtId="2" fontId="17" fillId="38" borderId="0" xfId="0" applyNumberFormat="1" applyFont="1" applyFill="1"/>
    <xf numFmtId="0" fontId="22" fillId="0" borderId="0" xfId="0" applyFont="1" applyFill="1" applyAlignment="1">
      <alignment horizontal="left" vertical="center"/>
    </xf>
    <xf numFmtId="14" fontId="0" fillId="0" borderId="0" xfId="0" applyNumberFormat="1" applyFill="1" applyProtection="1">
      <protection hidden="1"/>
    </xf>
    <xf numFmtId="2" fontId="0" fillId="0" borderId="0" xfId="0" applyNumberFormat="1" applyFill="1" applyProtection="1">
      <protection hidden="1"/>
    </xf>
    <xf numFmtId="0" fontId="0" fillId="0" borderId="0" xfId="0" applyFill="1" applyProtection="1">
      <protection hidden="1"/>
    </xf>
    <xf numFmtId="0" fontId="22" fillId="0" borderId="0" xfId="0" applyFont="1" applyFill="1" applyAlignment="1">
      <alignment vertical="center" wrapText="1"/>
    </xf>
    <xf numFmtId="14" fontId="0" fillId="34" borderId="10" xfId="0" applyNumberFormat="1" applyFill="1" applyBorder="1" applyAlignment="1" applyProtection="1">
      <alignment horizontal="center"/>
      <protection hidden="1"/>
    </xf>
    <xf numFmtId="0" fontId="25" fillId="0" borderId="13" xfId="0" applyFont="1" applyBorder="1" applyAlignment="1">
      <alignment horizontal="center"/>
    </xf>
    <xf numFmtId="0" fontId="21" fillId="0" borderId="14" xfId="0" applyFont="1" applyBorder="1" applyAlignment="1">
      <alignment horizontal="center" vertical="top"/>
    </xf>
    <xf numFmtId="0" fontId="22" fillId="38" borderId="0" xfId="0" applyFont="1" applyFill="1" applyAlignment="1">
      <alignment horizontal="left" vertical="center" wrapText="1"/>
    </xf>
    <xf numFmtId="0" fontId="22" fillId="38" borderId="0" xfId="0" applyFont="1" applyFill="1" applyAlignment="1">
      <alignment horizontal="left"/>
    </xf>
    <xf numFmtId="0" fontId="22" fillId="38" borderId="0" xfId="0" applyFont="1" applyFill="1" applyAlignment="1">
      <alignment horizontal="center" vertical="center" wrapText="1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rmal 2" xfId="42"/>
    <cellStyle name="Normal 3" xfId="43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6"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165" formatCode="dd/mm/yyyy;@"/>
    </dxf>
    <dxf>
      <alignment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397594450377472E-2"/>
          <c:y val="2.1601221248479487E-2"/>
          <c:w val="0.89629554211556306"/>
          <c:h val="0.843449353090788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'Analisis Siembra MZ'!$D$48</c:f>
              <c:strCache>
                <c:ptCount val="1"/>
                <c:pt idx="0">
                  <c:v>Inicio periodo critico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'Analisis Siembra MZ'!$B$49:$C$63</c:f>
              <c:multiLvlStrCache>
                <c:ptCount val="15"/>
                <c:lvl>
                  <c:pt idx="0">
                    <c:v>AX 7761</c:v>
                  </c:pt>
                  <c:pt idx="1">
                    <c:v>NK 825</c:v>
                  </c:pt>
                  <c:pt idx="2">
                    <c:v>DK 7447</c:v>
                  </c:pt>
                  <c:pt idx="3">
                    <c:v>NK 870</c:v>
                  </c:pt>
                  <c:pt idx="4">
                    <c:v>DK 7272</c:v>
                  </c:pt>
                  <c:pt idx="5">
                    <c:v>DK 7272</c:v>
                  </c:pt>
                  <c:pt idx="6">
                    <c:v>DK 7272</c:v>
                  </c:pt>
                  <c:pt idx="7">
                    <c:v>DOU 225 PWU</c:v>
                  </c:pt>
                  <c:pt idx="8">
                    <c:v>NS 7921</c:v>
                  </c:pt>
                  <c:pt idx="9">
                    <c:v>DK 7272</c:v>
                  </c:pt>
                  <c:pt idx="10">
                    <c:v>BRV 8421</c:v>
                  </c:pt>
                  <c:pt idx="11">
                    <c:v>BRV 8380</c:v>
                  </c:pt>
                  <c:pt idx="12">
                    <c:v>NS 7921- DK 7272</c:v>
                  </c:pt>
                  <c:pt idx="13">
                    <c:v>NS 7921</c:v>
                  </c:pt>
                  <c:pt idx="14">
                    <c:v>NK 870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:lvl>
              </c:multiLvlStrCache>
            </c:multiLvlStrRef>
          </c:cat>
          <c:val>
            <c:numRef>
              <c:f>'Analisis Siembra MZ'!$D$49:$D$63</c:f>
              <c:numCache>
                <c:formatCode>dd/mm/yyyy;@</c:formatCode>
                <c:ptCount val="15"/>
                <c:pt idx="0">
                  <c:v>45988</c:v>
                </c:pt>
                <c:pt idx="1">
                  <c:v>46001</c:v>
                </c:pt>
                <c:pt idx="2">
                  <c:v>46000</c:v>
                </c:pt>
                <c:pt idx="3">
                  <c:v>46005</c:v>
                </c:pt>
                <c:pt idx="4">
                  <c:v>46006</c:v>
                </c:pt>
                <c:pt idx="5">
                  <c:v>46014</c:v>
                </c:pt>
                <c:pt idx="6">
                  <c:v>46006</c:v>
                </c:pt>
                <c:pt idx="7">
                  <c:v>46036</c:v>
                </c:pt>
                <c:pt idx="8">
                  <c:v>46041</c:v>
                </c:pt>
                <c:pt idx="9">
                  <c:v>46028</c:v>
                </c:pt>
                <c:pt idx="10">
                  <c:v>46038</c:v>
                </c:pt>
                <c:pt idx="11">
                  <c:v>46036</c:v>
                </c:pt>
                <c:pt idx="12">
                  <c:v>46047</c:v>
                </c:pt>
                <c:pt idx="13">
                  <c:v>46043</c:v>
                </c:pt>
                <c:pt idx="14">
                  <c:v>46036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CB-4978-BD81-12940C4714AC}"/>
            </c:ext>
          </c:extLst>
        </c:ser>
        <c:ser>
          <c:idx val="1"/>
          <c:order val="1"/>
          <c:tx>
            <c:strRef>
              <c:f>'Analisis Siembra MZ'!$E$48</c:f>
              <c:strCache>
                <c:ptCount val="1"/>
                <c:pt idx="0">
                  <c:v>Dias criticos</c:v>
                </c:pt>
              </c:strCache>
            </c:strRef>
          </c:tx>
          <c:spPr>
            <a:solidFill>
              <a:schemeClr val="accent6">
                <a:alpha val="6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'Analisis Siembra MZ'!$B$49:$C$63</c:f>
              <c:multiLvlStrCache>
                <c:ptCount val="15"/>
                <c:lvl>
                  <c:pt idx="0">
                    <c:v>AX 7761</c:v>
                  </c:pt>
                  <c:pt idx="1">
                    <c:v>NK 825</c:v>
                  </c:pt>
                  <c:pt idx="2">
                    <c:v>DK 7447</c:v>
                  </c:pt>
                  <c:pt idx="3">
                    <c:v>NK 870</c:v>
                  </c:pt>
                  <c:pt idx="4">
                    <c:v>DK 7272</c:v>
                  </c:pt>
                  <c:pt idx="5">
                    <c:v>DK 7272</c:v>
                  </c:pt>
                  <c:pt idx="6">
                    <c:v>DK 7272</c:v>
                  </c:pt>
                  <c:pt idx="7">
                    <c:v>DOU 225 PWU</c:v>
                  </c:pt>
                  <c:pt idx="8">
                    <c:v>NS 7921</c:v>
                  </c:pt>
                  <c:pt idx="9">
                    <c:v>DK 7272</c:v>
                  </c:pt>
                  <c:pt idx="10">
                    <c:v>BRV 8421</c:v>
                  </c:pt>
                  <c:pt idx="11">
                    <c:v>BRV 8380</c:v>
                  </c:pt>
                  <c:pt idx="12">
                    <c:v>NS 7921- DK 7272</c:v>
                  </c:pt>
                  <c:pt idx="13">
                    <c:v>NS 7921</c:v>
                  </c:pt>
                  <c:pt idx="14">
                    <c:v>NK 870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:lvl>
              </c:multiLvlStrCache>
            </c:multiLvlStrRef>
          </c:cat>
          <c:val>
            <c:numRef>
              <c:f>'Analisis Siembra MZ'!$E$49:$E$63</c:f>
              <c:numCache>
                <c:formatCode>0.0</c:formatCode>
                <c:ptCount val="15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CB-4978-BD81-12940C4714AC}"/>
            </c:ext>
          </c:extLst>
        </c:ser>
        <c:ser>
          <c:idx val="2"/>
          <c:order val="2"/>
          <c:tx>
            <c:strRef>
              <c:f>'Analisis Siembra MZ'!$F$48</c:f>
              <c:strCache>
                <c:ptCount val="1"/>
                <c:pt idx="0">
                  <c:v>Fin periodo critico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'Analisis Siembra MZ'!$B$49:$C$63</c:f>
              <c:multiLvlStrCache>
                <c:ptCount val="15"/>
                <c:lvl>
                  <c:pt idx="0">
                    <c:v>AX 7761</c:v>
                  </c:pt>
                  <c:pt idx="1">
                    <c:v>NK 825</c:v>
                  </c:pt>
                  <c:pt idx="2">
                    <c:v>DK 7447</c:v>
                  </c:pt>
                  <c:pt idx="3">
                    <c:v>NK 870</c:v>
                  </c:pt>
                  <c:pt idx="4">
                    <c:v>DK 7272</c:v>
                  </c:pt>
                  <c:pt idx="5">
                    <c:v>DK 7272</c:v>
                  </c:pt>
                  <c:pt idx="6">
                    <c:v>DK 7272</c:v>
                  </c:pt>
                  <c:pt idx="7">
                    <c:v>DOU 225 PWU</c:v>
                  </c:pt>
                  <c:pt idx="8">
                    <c:v>NS 7921</c:v>
                  </c:pt>
                  <c:pt idx="9">
                    <c:v>DK 7272</c:v>
                  </c:pt>
                  <c:pt idx="10">
                    <c:v>BRV 8421</c:v>
                  </c:pt>
                  <c:pt idx="11">
                    <c:v>BRV 8380</c:v>
                  </c:pt>
                  <c:pt idx="12">
                    <c:v>NS 7921- DK 7272</c:v>
                  </c:pt>
                  <c:pt idx="13">
                    <c:v>NS 7921</c:v>
                  </c:pt>
                  <c:pt idx="14">
                    <c:v>NK 870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:lvl>
              </c:multiLvlStrCache>
            </c:multiLvlStrRef>
          </c:cat>
          <c:val>
            <c:numRef>
              <c:f>'Analisis Siembra MZ'!$F$49:$F$63</c:f>
              <c:numCache>
                <c:formatCode>dd/mm/yyyy;@</c:formatCode>
                <c:ptCount val="15"/>
                <c:pt idx="0">
                  <c:v>45982</c:v>
                </c:pt>
                <c:pt idx="1">
                  <c:v>46000</c:v>
                </c:pt>
                <c:pt idx="2">
                  <c:v>46014</c:v>
                </c:pt>
                <c:pt idx="3">
                  <c:v>46008</c:v>
                </c:pt>
                <c:pt idx="4">
                  <c:v>46009</c:v>
                </c:pt>
                <c:pt idx="5">
                  <c:v>46010</c:v>
                </c:pt>
                <c:pt idx="6">
                  <c:v>46010</c:v>
                </c:pt>
                <c:pt idx="7">
                  <c:v>46062</c:v>
                </c:pt>
                <c:pt idx="8">
                  <c:v>46074</c:v>
                </c:pt>
                <c:pt idx="9">
                  <c:v>46058</c:v>
                </c:pt>
                <c:pt idx="10">
                  <c:v>46065</c:v>
                </c:pt>
                <c:pt idx="11">
                  <c:v>46062</c:v>
                </c:pt>
                <c:pt idx="12">
                  <c:v>46080</c:v>
                </c:pt>
                <c:pt idx="13">
                  <c:v>46082</c:v>
                </c:pt>
                <c:pt idx="14">
                  <c:v>46069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CB-4978-BD81-12940C4714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5563632"/>
        <c:axId val="95555728"/>
      </c:barChart>
      <c:catAx>
        <c:axId val="9556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5555728"/>
        <c:crosses val="autoZero"/>
        <c:auto val="1"/>
        <c:lblAlgn val="ctr"/>
        <c:lblOffset val="100"/>
        <c:noMultiLvlLbl val="0"/>
      </c:catAx>
      <c:valAx>
        <c:axId val="95555728"/>
        <c:scaling>
          <c:orientation val="minMax"/>
          <c:max val="46096"/>
          <c:min val="45931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dd/mm/yyyy;@" sourceLinked="1"/>
        <c:majorTickMark val="none"/>
        <c:minorTickMark val="none"/>
        <c:tickLblPos val="nextTo"/>
        <c:crossAx val="95563632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t"/>
      <c:legendEntry>
        <c:idx val="0"/>
        <c:delete val="1"/>
      </c:legendEntry>
      <c:legendEntry>
        <c:idx val="2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DATOS!$E$1</c:f>
              <c:strCache>
                <c:ptCount val="1"/>
                <c:pt idx="0">
                  <c:v>MM</c:v>
                </c:pt>
              </c:strCache>
            </c:strRef>
          </c:tx>
          <c:spPr>
            <a:solidFill>
              <a:srgbClr val="00B0F0">
                <a:alpha val="20000"/>
              </a:srgbClr>
            </a:solidFill>
            <a:ln w="3175">
              <a:solidFill>
                <a:srgbClr val="00B0F0">
                  <a:alpha val="36000"/>
                </a:srgbClr>
              </a:solidFill>
            </a:ln>
            <a:effectLst/>
          </c:spPr>
          <c:invertIfNegative val="0"/>
          <c:cat>
            <c:numRef>
              <c:f>DATOS!$A$2:$A$394</c:f>
              <c:numCache>
                <c:formatCode>dd/mm/yyyy</c:formatCode>
                <c:ptCount val="393"/>
                <c:pt idx="0">
                  <c:v>45839</c:v>
                </c:pt>
                <c:pt idx="1">
                  <c:v>45840</c:v>
                </c:pt>
                <c:pt idx="2">
                  <c:v>45841</c:v>
                </c:pt>
                <c:pt idx="3">
                  <c:v>45842</c:v>
                </c:pt>
                <c:pt idx="4">
                  <c:v>45843</c:v>
                </c:pt>
                <c:pt idx="5">
                  <c:v>45844</c:v>
                </c:pt>
                <c:pt idx="6">
                  <c:v>45845</c:v>
                </c:pt>
                <c:pt idx="7">
                  <c:v>45846</c:v>
                </c:pt>
                <c:pt idx="8">
                  <c:v>45847</c:v>
                </c:pt>
                <c:pt idx="9">
                  <c:v>45848</c:v>
                </c:pt>
                <c:pt idx="10">
                  <c:v>45849</c:v>
                </c:pt>
                <c:pt idx="11">
                  <c:v>45850</c:v>
                </c:pt>
                <c:pt idx="12">
                  <c:v>45851</c:v>
                </c:pt>
                <c:pt idx="13">
                  <c:v>45852</c:v>
                </c:pt>
                <c:pt idx="14">
                  <c:v>45853</c:v>
                </c:pt>
                <c:pt idx="15">
                  <c:v>45854</c:v>
                </c:pt>
                <c:pt idx="16">
                  <c:v>45855</c:v>
                </c:pt>
                <c:pt idx="17">
                  <c:v>45856</c:v>
                </c:pt>
                <c:pt idx="18">
                  <c:v>45857</c:v>
                </c:pt>
                <c:pt idx="19">
                  <c:v>45858</c:v>
                </c:pt>
                <c:pt idx="20">
                  <c:v>45859</c:v>
                </c:pt>
                <c:pt idx="21">
                  <c:v>45860</c:v>
                </c:pt>
                <c:pt idx="22">
                  <c:v>45861</c:v>
                </c:pt>
                <c:pt idx="23">
                  <c:v>45862</c:v>
                </c:pt>
                <c:pt idx="24">
                  <c:v>45863</c:v>
                </c:pt>
                <c:pt idx="25">
                  <c:v>45864</c:v>
                </c:pt>
                <c:pt idx="26">
                  <c:v>45865</c:v>
                </c:pt>
                <c:pt idx="27">
                  <c:v>45866</c:v>
                </c:pt>
                <c:pt idx="28">
                  <c:v>45867</c:v>
                </c:pt>
                <c:pt idx="29">
                  <c:v>45868</c:v>
                </c:pt>
                <c:pt idx="30">
                  <c:v>45869</c:v>
                </c:pt>
                <c:pt idx="31">
                  <c:v>45870</c:v>
                </c:pt>
                <c:pt idx="32">
                  <c:v>45871</c:v>
                </c:pt>
                <c:pt idx="33">
                  <c:v>45872</c:v>
                </c:pt>
                <c:pt idx="34">
                  <c:v>45873</c:v>
                </c:pt>
                <c:pt idx="35">
                  <c:v>45874</c:v>
                </c:pt>
                <c:pt idx="36">
                  <c:v>45875</c:v>
                </c:pt>
                <c:pt idx="37">
                  <c:v>45876</c:v>
                </c:pt>
                <c:pt idx="38">
                  <c:v>45877</c:v>
                </c:pt>
                <c:pt idx="39">
                  <c:v>45878</c:v>
                </c:pt>
                <c:pt idx="40">
                  <c:v>45879</c:v>
                </c:pt>
                <c:pt idx="41">
                  <c:v>45880</c:v>
                </c:pt>
                <c:pt idx="42">
                  <c:v>45881</c:v>
                </c:pt>
                <c:pt idx="43">
                  <c:v>45882</c:v>
                </c:pt>
                <c:pt idx="44">
                  <c:v>45883</c:v>
                </c:pt>
                <c:pt idx="45">
                  <c:v>45884</c:v>
                </c:pt>
                <c:pt idx="46">
                  <c:v>45885</c:v>
                </c:pt>
                <c:pt idx="47">
                  <c:v>45886</c:v>
                </c:pt>
                <c:pt idx="48">
                  <c:v>45887</c:v>
                </c:pt>
                <c:pt idx="49">
                  <c:v>45888</c:v>
                </c:pt>
                <c:pt idx="50">
                  <c:v>45889</c:v>
                </c:pt>
                <c:pt idx="51">
                  <c:v>45890</c:v>
                </c:pt>
                <c:pt idx="52">
                  <c:v>45891</c:v>
                </c:pt>
                <c:pt idx="53">
                  <c:v>45892</c:v>
                </c:pt>
                <c:pt idx="54">
                  <c:v>45893</c:v>
                </c:pt>
                <c:pt idx="55">
                  <c:v>45894</c:v>
                </c:pt>
                <c:pt idx="56">
                  <c:v>45895</c:v>
                </c:pt>
                <c:pt idx="57">
                  <c:v>45896</c:v>
                </c:pt>
                <c:pt idx="58">
                  <c:v>45897</c:v>
                </c:pt>
                <c:pt idx="59">
                  <c:v>45898</c:v>
                </c:pt>
                <c:pt idx="60">
                  <c:v>45899</c:v>
                </c:pt>
                <c:pt idx="61">
                  <c:v>45900</c:v>
                </c:pt>
                <c:pt idx="62">
                  <c:v>45901</c:v>
                </c:pt>
                <c:pt idx="63">
                  <c:v>45902</c:v>
                </c:pt>
                <c:pt idx="64">
                  <c:v>45903</c:v>
                </c:pt>
                <c:pt idx="65">
                  <c:v>45904</c:v>
                </c:pt>
                <c:pt idx="66">
                  <c:v>45905</c:v>
                </c:pt>
                <c:pt idx="67">
                  <c:v>45906</c:v>
                </c:pt>
                <c:pt idx="68">
                  <c:v>45907</c:v>
                </c:pt>
                <c:pt idx="69">
                  <c:v>45908</c:v>
                </c:pt>
                <c:pt idx="70">
                  <c:v>45909</c:v>
                </c:pt>
                <c:pt idx="71">
                  <c:v>45910</c:v>
                </c:pt>
                <c:pt idx="72">
                  <c:v>45911</c:v>
                </c:pt>
                <c:pt idx="73">
                  <c:v>45912</c:v>
                </c:pt>
                <c:pt idx="74">
                  <c:v>45913</c:v>
                </c:pt>
                <c:pt idx="75">
                  <c:v>45914</c:v>
                </c:pt>
                <c:pt idx="76">
                  <c:v>45915</c:v>
                </c:pt>
                <c:pt idx="77">
                  <c:v>45916</c:v>
                </c:pt>
                <c:pt idx="78">
                  <c:v>45917</c:v>
                </c:pt>
                <c:pt idx="79">
                  <c:v>45918</c:v>
                </c:pt>
                <c:pt idx="80">
                  <c:v>45919</c:v>
                </c:pt>
                <c:pt idx="81">
                  <c:v>45920</c:v>
                </c:pt>
                <c:pt idx="82">
                  <c:v>45921</c:v>
                </c:pt>
                <c:pt idx="83">
                  <c:v>45922</c:v>
                </c:pt>
                <c:pt idx="84">
                  <c:v>45923</c:v>
                </c:pt>
                <c:pt idx="85">
                  <c:v>45924</c:v>
                </c:pt>
                <c:pt idx="86">
                  <c:v>45925</c:v>
                </c:pt>
                <c:pt idx="87">
                  <c:v>45926</c:v>
                </c:pt>
                <c:pt idx="88">
                  <c:v>45927</c:v>
                </c:pt>
                <c:pt idx="89">
                  <c:v>45928</c:v>
                </c:pt>
                <c:pt idx="90">
                  <c:v>45929</c:v>
                </c:pt>
                <c:pt idx="91">
                  <c:v>45930</c:v>
                </c:pt>
                <c:pt idx="92">
                  <c:v>45931</c:v>
                </c:pt>
                <c:pt idx="93">
                  <c:v>45932</c:v>
                </c:pt>
                <c:pt idx="94">
                  <c:v>45933</c:v>
                </c:pt>
                <c:pt idx="95">
                  <c:v>45934</c:v>
                </c:pt>
                <c:pt idx="96">
                  <c:v>45935</c:v>
                </c:pt>
                <c:pt idx="97">
                  <c:v>45936</c:v>
                </c:pt>
                <c:pt idx="98">
                  <c:v>45937</c:v>
                </c:pt>
                <c:pt idx="99">
                  <c:v>45938</c:v>
                </c:pt>
                <c:pt idx="100">
                  <c:v>45939</c:v>
                </c:pt>
                <c:pt idx="101">
                  <c:v>45940</c:v>
                </c:pt>
                <c:pt idx="102">
                  <c:v>45941</c:v>
                </c:pt>
                <c:pt idx="103">
                  <c:v>45942</c:v>
                </c:pt>
                <c:pt idx="104">
                  <c:v>45943</c:v>
                </c:pt>
                <c:pt idx="105">
                  <c:v>45944</c:v>
                </c:pt>
                <c:pt idx="106">
                  <c:v>45945</c:v>
                </c:pt>
                <c:pt idx="107">
                  <c:v>45946</c:v>
                </c:pt>
                <c:pt idx="108">
                  <c:v>45947</c:v>
                </c:pt>
                <c:pt idx="109">
                  <c:v>45948</c:v>
                </c:pt>
                <c:pt idx="110">
                  <c:v>45949</c:v>
                </c:pt>
                <c:pt idx="111">
                  <c:v>45950</c:v>
                </c:pt>
                <c:pt idx="112">
                  <c:v>45951</c:v>
                </c:pt>
                <c:pt idx="113">
                  <c:v>45952</c:v>
                </c:pt>
                <c:pt idx="114">
                  <c:v>45953</c:v>
                </c:pt>
                <c:pt idx="115">
                  <c:v>45954</c:v>
                </c:pt>
                <c:pt idx="116">
                  <c:v>45955</c:v>
                </c:pt>
                <c:pt idx="117">
                  <c:v>45956</c:v>
                </c:pt>
                <c:pt idx="118">
                  <c:v>45957</c:v>
                </c:pt>
                <c:pt idx="119">
                  <c:v>45958</c:v>
                </c:pt>
                <c:pt idx="120">
                  <c:v>45959</c:v>
                </c:pt>
                <c:pt idx="121">
                  <c:v>45960</c:v>
                </c:pt>
                <c:pt idx="122">
                  <c:v>45961</c:v>
                </c:pt>
                <c:pt idx="123">
                  <c:v>45962</c:v>
                </c:pt>
                <c:pt idx="124">
                  <c:v>45963</c:v>
                </c:pt>
                <c:pt idx="125">
                  <c:v>45964</c:v>
                </c:pt>
                <c:pt idx="126">
                  <c:v>45965</c:v>
                </c:pt>
                <c:pt idx="127">
                  <c:v>45966</c:v>
                </c:pt>
                <c:pt idx="128">
                  <c:v>45967</c:v>
                </c:pt>
                <c:pt idx="129">
                  <c:v>45968</c:v>
                </c:pt>
                <c:pt idx="130">
                  <c:v>45969</c:v>
                </c:pt>
                <c:pt idx="131">
                  <c:v>45970</c:v>
                </c:pt>
                <c:pt idx="132">
                  <c:v>45971</c:v>
                </c:pt>
                <c:pt idx="133">
                  <c:v>45972</c:v>
                </c:pt>
                <c:pt idx="134">
                  <c:v>45973</c:v>
                </c:pt>
                <c:pt idx="135">
                  <c:v>45974</c:v>
                </c:pt>
                <c:pt idx="136">
                  <c:v>45975</c:v>
                </c:pt>
                <c:pt idx="137">
                  <c:v>45976</c:v>
                </c:pt>
                <c:pt idx="138">
                  <c:v>45977</c:v>
                </c:pt>
                <c:pt idx="139">
                  <c:v>45978</c:v>
                </c:pt>
                <c:pt idx="140">
                  <c:v>45979</c:v>
                </c:pt>
                <c:pt idx="141">
                  <c:v>45980</c:v>
                </c:pt>
                <c:pt idx="142">
                  <c:v>45981</c:v>
                </c:pt>
                <c:pt idx="143">
                  <c:v>45982</c:v>
                </c:pt>
                <c:pt idx="144">
                  <c:v>45983</c:v>
                </c:pt>
                <c:pt idx="145">
                  <c:v>45984</c:v>
                </c:pt>
                <c:pt idx="146">
                  <c:v>45985</c:v>
                </c:pt>
                <c:pt idx="147">
                  <c:v>45986</c:v>
                </c:pt>
                <c:pt idx="148">
                  <c:v>45987</c:v>
                </c:pt>
                <c:pt idx="149">
                  <c:v>45988</c:v>
                </c:pt>
                <c:pt idx="150">
                  <c:v>45989</c:v>
                </c:pt>
                <c:pt idx="151">
                  <c:v>45990</c:v>
                </c:pt>
                <c:pt idx="152">
                  <c:v>45991</c:v>
                </c:pt>
                <c:pt idx="153">
                  <c:v>45992</c:v>
                </c:pt>
                <c:pt idx="154">
                  <c:v>45993</c:v>
                </c:pt>
                <c:pt idx="155">
                  <c:v>45994</c:v>
                </c:pt>
                <c:pt idx="156">
                  <c:v>45995</c:v>
                </c:pt>
                <c:pt idx="157">
                  <c:v>45996</c:v>
                </c:pt>
                <c:pt idx="158">
                  <c:v>45997</c:v>
                </c:pt>
                <c:pt idx="159">
                  <c:v>45998</c:v>
                </c:pt>
                <c:pt idx="160">
                  <c:v>45999</c:v>
                </c:pt>
                <c:pt idx="161">
                  <c:v>46000</c:v>
                </c:pt>
                <c:pt idx="162">
                  <c:v>46001</c:v>
                </c:pt>
                <c:pt idx="163">
                  <c:v>46002</c:v>
                </c:pt>
                <c:pt idx="164">
                  <c:v>46003</c:v>
                </c:pt>
                <c:pt idx="165">
                  <c:v>46004</c:v>
                </c:pt>
                <c:pt idx="166">
                  <c:v>46005</c:v>
                </c:pt>
                <c:pt idx="167">
                  <c:v>46006</c:v>
                </c:pt>
                <c:pt idx="168">
                  <c:v>46007</c:v>
                </c:pt>
                <c:pt idx="169">
                  <c:v>46008</c:v>
                </c:pt>
                <c:pt idx="170">
                  <c:v>46009</c:v>
                </c:pt>
                <c:pt idx="171">
                  <c:v>46010</c:v>
                </c:pt>
                <c:pt idx="172">
                  <c:v>46011</c:v>
                </c:pt>
                <c:pt idx="173">
                  <c:v>46012</c:v>
                </c:pt>
                <c:pt idx="174">
                  <c:v>46013</c:v>
                </c:pt>
                <c:pt idx="175">
                  <c:v>46014</c:v>
                </c:pt>
                <c:pt idx="176">
                  <c:v>46015</c:v>
                </c:pt>
                <c:pt idx="177">
                  <c:v>46016</c:v>
                </c:pt>
                <c:pt idx="178">
                  <c:v>46017</c:v>
                </c:pt>
                <c:pt idx="179">
                  <c:v>46018</c:v>
                </c:pt>
                <c:pt idx="180">
                  <c:v>46019</c:v>
                </c:pt>
                <c:pt idx="181">
                  <c:v>46020</c:v>
                </c:pt>
                <c:pt idx="182">
                  <c:v>46021</c:v>
                </c:pt>
                <c:pt idx="183">
                  <c:v>46022</c:v>
                </c:pt>
                <c:pt idx="184">
                  <c:v>46023</c:v>
                </c:pt>
                <c:pt idx="185">
                  <c:v>46024</c:v>
                </c:pt>
                <c:pt idx="186">
                  <c:v>46025</c:v>
                </c:pt>
                <c:pt idx="187">
                  <c:v>46026</c:v>
                </c:pt>
                <c:pt idx="188">
                  <c:v>46027</c:v>
                </c:pt>
                <c:pt idx="189">
                  <c:v>46028</c:v>
                </c:pt>
                <c:pt idx="190">
                  <c:v>46029</c:v>
                </c:pt>
                <c:pt idx="191">
                  <c:v>46030</c:v>
                </c:pt>
                <c:pt idx="192">
                  <c:v>46031</c:v>
                </c:pt>
                <c:pt idx="193">
                  <c:v>46032</c:v>
                </c:pt>
                <c:pt idx="194">
                  <c:v>46033</c:v>
                </c:pt>
                <c:pt idx="195">
                  <c:v>46034</c:v>
                </c:pt>
                <c:pt idx="196">
                  <c:v>46035</c:v>
                </c:pt>
                <c:pt idx="197">
                  <c:v>46036</c:v>
                </c:pt>
                <c:pt idx="198">
                  <c:v>46037</c:v>
                </c:pt>
                <c:pt idx="199">
                  <c:v>46038</c:v>
                </c:pt>
                <c:pt idx="200">
                  <c:v>46039</c:v>
                </c:pt>
                <c:pt idx="201">
                  <c:v>46040</c:v>
                </c:pt>
                <c:pt idx="202">
                  <c:v>46041</c:v>
                </c:pt>
                <c:pt idx="203">
                  <c:v>46042</c:v>
                </c:pt>
                <c:pt idx="204">
                  <c:v>46043</c:v>
                </c:pt>
                <c:pt idx="205">
                  <c:v>46044</c:v>
                </c:pt>
                <c:pt idx="206">
                  <c:v>46045</c:v>
                </c:pt>
                <c:pt idx="207">
                  <c:v>46046</c:v>
                </c:pt>
                <c:pt idx="208">
                  <c:v>46047</c:v>
                </c:pt>
                <c:pt idx="209">
                  <c:v>46048</c:v>
                </c:pt>
                <c:pt idx="210">
                  <c:v>46049</c:v>
                </c:pt>
                <c:pt idx="211">
                  <c:v>46050</c:v>
                </c:pt>
                <c:pt idx="212">
                  <c:v>46051</c:v>
                </c:pt>
                <c:pt idx="213">
                  <c:v>46052</c:v>
                </c:pt>
                <c:pt idx="214">
                  <c:v>46053</c:v>
                </c:pt>
                <c:pt idx="215">
                  <c:v>46054</c:v>
                </c:pt>
                <c:pt idx="216">
                  <c:v>46055</c:v>
                </c:pt>
                <c:pt idx="217">
                  <c:v>46056</c:v>
                </c:pt>
                <c:pt idx="218">
                  <c:v>46057</c:v>
                </c:pt>
                <c:pt idx="219">
                  <c:v>46058</c:v>
                </c:pt>
                <c:pt idx="220">
                  <c:v>46059</c:v>
                </c:pt>
                <c:pt idx="221">
                  <c:v>46060</c:v>
                </c:pt>
                <c:pt idx="222">
                  <c:v>46061</c:v>
                </c:pt>
                <c:pt idx="223">
                  <c:v>46062</c:v>
                </c:pt>
                <c:pt idx="224">
                  <c:v>46063</c:v>
                </c:pt>
                <c:pt idx="225">
                  <c:v>46064</c:v>
                </c:pt>
                <c:pt idx="226">
                  <c:v>46065</c:v>
                </c:pt>
                <c:pt idx="227">
                  <c:v>46066</c:v>
                </c:pt>
                <c:pt idx="228">
                  <c:v>46067</c:v>
                </c:pt>
                <c:pt idx="229">
                  <c:v>46068</c:v>
                </c:pt>
                <c:pt idx="230">
                  <c:v>46069</c:v>
                </c:pt>
                <c:pt idx="231">
                  <c:v>46070</c:v>
                </c:pt>
                <c:pt idx="232">
                  <c:v>46071</c:v>
                </c:pt>
                <c:pt idx="233">
                  <c:v>46072</c:v>
                </c:pt>
                <c:pt idx="234">
                  <c:v>46073</c:v>
                </c:pt>
                <c:pt idx="235">
                  <c:v>46074</c:v>
                </c:pt>
                <c:pt idx="236">
                  <c:v>46075</c:v>
                </c:pt>
                <c:pt idx="237">
                  <c:v>46076</c:v>
                </c:pt>
                <c:pt idx="238">
                  <c:v>46077</c:v>
                </c:pt>
                <c:pt idx="239">
                  <c:v>46078</c:v>
                </c:pt>
                <c:pt idx="240">
                  <c:v>46079</c:v>
                </c:pt>
                <c:pt idx="241">
                  <c:v>46080</c:v>
                </c:pt>
                <c:pt idx="242">
                  <c:v>46081</c:v>
                </c:pt>
                <c:pt idx="243">
                  <c:v>46082</c:v>
                </c:pt>
                <c:pt idx="244">
                  <c:v>46083</c:v>
                </c:pt>
                <c:pt idx="245">
                  <c:v>46084</c:v>
                </c:pt>
                <c:pt idx="246">
                  <c:v>46085</c:v>
                </c:pt>
                <c:pt idx="247">
                  <c:v>46086</c:v>
                </c:pt>
                <c:pt idx="248">
                  <c:v>46087</c:v>
                </c:pt>
                <c:pt idx="249">
                  <c:v>46088</c:v>
                </c:pt>
                <c:pt idx="250">
                  <c:v>46089</c:v>
                </c:pt>
                <c:pt idx="251">
                  <c:v>46090</c:v>
                </c:pt>
                <c:pt idx="252">
                  <c:v>46091</c:v>
                </c:pt>
                <c:pt idx="253">
                  <c:v>46092</c:v>
                </c:pt>
                <c:pt idx="254">
                  <c:v>46093</c:v>
                </c:pt>
                <c:pt idx="255">
                  <c:v>46094</c:v>
                </c:pt>
                <c:pt idx="256">
                  <c:v>46095</c:v>
                </c:pt>
                <c:pt idx="257">
                  <c:v>46096</c:v>
                </c:pt>
                <c:pt idx="258">
                  <c:v>46097</c:v>
                </c:pt>
                <c:pt idx="259">
                  <c:v>46098</c:v>
                </c:pt>
                <c:pt idx="260">
                  <c:v>46099</c:v>
                </c:pt>
                <c:pt idx="261">
                  <c:v>46100</c:v>
                </c:pt>
                <c:pt idx="262">
                  <c:v>46101</c:v>
                </c:pt>
                <c:pt idx="263">
                  <c:v>46102</c:v>
                </c:pt>
                <c:pt idx="264">
                  <c:v>46103</c:v>
                </c:pt>
                <c:pt idx="265">
                  <c:v>46104</c:v>
                </c:pt>
                <c:pt idx="266">
                  <c:v>46105</c:v>
                </c:pt>
                <c:pt idx="267">
                  <c:v>46106</c:v>
                </c:pt>
                <c:pt idx="268">
                  <c:v>46107</c:v>
                </c:pt>
                <c:pt idx="269">
                  <c:v>46108</c:v>
                </c:pt>
                <c:pt idx="270">
                  <c:v>46109</c:v>
                </c:pt>
                <c:pt idx="271">
                  <c:v>46110</c:v>
                </c:pt>
                <c:pt idx="272">
                  <c:v>46111</c:v>
                </c:pt>
                <c:pt idx="273">
                  <c:v>46112</c:v>
                </c:pt>
                <c:pt idx="274">
                  <c:v>46113</c:v>
                </c:pt>
                <c:pt idx="275">
                  <c:v>46114</c:v>
                </c:pt>
                <c:pt idx="276">
                  <c:v>46115</c:v>
                </c:pt>
                <c:pt idx="277">
                  <c:v>46116</c:v>
                </c:pt>
                <c:pt idx="278">
                  <c:v>46117</c:v>
                </c:pt>
                <c:pt idx="279">
                  <c:v>46118</c:v>
                </c:pt>
                <c:pt idx="280">
                  <c:v>46119</c:v>
                </c:pt>
                <c:pt idx="281">
                  <c:v>46120</c:v>
                </c:pt>
                <c:pt idx="282">
                  <c:v>46121</c:v>
                </c:pt>
                <c:pt idx="283">
                  <c:v>46122</c:v>
                </c:pt>
                <c:pt idx="284">
                  <c:v>46123</c:v>
                </c:pt>
                <c:pt idx="285">
                  <c:v>46124</c:v>
                </c:pt>
                <c:pt idx="286">
                  <c:v>46125</c:v>
                </c:pt>
                <c:pt idx="287">
                  <c:v>46126</c:v>
                </c:pt>
                <c:pt idx="288">
                  <c:v>46127</c:v>
                </c:pt>
                <c:pt idx="289">
                  <c:v>46128</c:v>
                </c:pt>
                <c:pt idx="290">
                  <c:v>46129</c:v>
                </c:pt>
                <c:pt idx="291">
                  <c:v>46130</c:v>
                </c:pt>
                <c:pt idx="292">
                  <c:v>46131</c:v>
                </c:pt>
                <c:pt idx="293">
                  <c:v>46132</c:v>
                </c:pt>
                <c:pt idx="294">
                  <c:v>46133</c:v>
                </c:pt>
                <c:pt idx="295">
                  <c:v>46134</c:v>
                </c:pt>
                <c:pt idx="296">
                  <c:v>46135</c:v>
                </c:pt>
                <c:pt idx="297">
                  <c:v>46136</c:v>
                </c:pt>
                <c:pt idx="298">
                  <c:v>46137</c:v>
                </c:pt>
                <c:pt idx="299">
                  <c:v>46138</c:v>
                </c:pt>
                <c:pt idx="300">
                  <c:v>46139</c:v>
                </c:pt>
                <c:pt idx="301">
                  <c:v>46140</c:v>
                </c:pt>
                <c:pt idx="302">
                  <c:v>46141</c:v>
                </c:pt>
                <c:pt idx="303">
                  <c:v>46142</c:v>
                </c:pt>
                <c:pt idx="304">
                  <c:v>46143</c:v>
                </c:pt>
                <c:pt idx="305">
                  <c:v>46144</c:v>
                </c:pt>
                <c:pt idx="306">
                  <c:v>46145</c:v>
                </c:pt>
                <c:pt idx="307">
                  <c:v>46146</c:v>
                </c:pt>
                <c:pt idx="308">
                  <c:v>46147</c:v>
                </c:pt>
                <c:pt idx="309">
                  <c:v>46148</c:v>
                </c:pt>
                <c:pt idx="310">
                  <c:v>46149</c:v>
                </c:pt>
                <c:pt idx="311">
                  <c:v>46150</c:v>
                </c:pt>
                <c:pt idx="312">
                  <c:v>46151</c:v>
                </c:pt>
                <c:pt idx="313">
                  <c:v>46152</c:v>
                </c:pt>
                <c:pt idx="314">
                  <c:v>46153</c:v>
                </c:pt>
                <c:pt idx="315">
                  <c:v>46154</c:v>
                </c:pt>
                <c:pt idx="316">
                  <c:v>46155</c:v>
                </c:pt>
                <c:pt idx="317">
                  <c:v>46156</c:v>
                </c:pt>
                <c:pt idx="318">
                  <c:v>46157</c:v>
                </c:pt>
                <c:pt idx="319">
                  <c:v>46158</c:v>
                </c:pt>
                <c:pt idx="320">
                  <c:v>46159</c:v>
                </c:pt>
                <c:pt idx="321">
                  <c:v>46160</c:v>
                </c:pt>
                <c:pt idx="322">
                  <c:v>46161</c:v>
                </c:pt>
                <c:pt idx="323">
                  <c:v>46162</c:v>
                </c:pt>
                <c:pt idx="324">
                  <c:v>46163</c:v>
                </c:pt>
                <c:pt idx="325">
                  <c:v>46164</c:v>
                </c:pt>
                <c:pt idx="326">
                  <c:v>46165</c:v>
                </c:pt>
                <c:pt idx="327">
                  <c:v>46166</c:v>
                </c:pt>
                <c:pt idx="328">
                  <c:v>46167</c:v>
                </c:pt>
                <c:pt idx="329">
                  <c:v>46168</c:v>
                </c:pt>
                <c:pt idx="330">
                  <c:v>46169</c:v>
                </c:pt>
                <c:pt idx="331">
                  <c:v>46170</c:v>
                </c:pt>
                <c:pt idx="332">
                  <c:v>46171</c:v>
                </c:pt>
                <c:pt idx="333">
                  <c:v>46172</c:v>
                </c:pt>
                <c:pt idx="334">
                  <c:v>46173</c:v>
                </c:pt>
                <c:pt idx="335">
                  <c:v>46174</c:v>
                </c:pt>
                <c:pt idx="336">
                  <c:v>46175</c:v>
                </c:pt>
                <c:pt idx="337">
                  <c:v>46176</c:v>
                </c:pt>
                <c:pt idx="338">
                  <c:v>46177</c:v>
                </c:pt>
                <c:pt idx="339">
                  <c:v>46178</c:v>
                </c:pt>
                <c:pt idx="340">
                  <c:v>46179</c:v>
                </c:pt>
                <c:pt idx="341">
                  <c:v>46180</c:v>
                </c:pt>
                <c:pt idx="342">
                  <c:v>46181</c:v>
                </c:pt>
                <c:pt idx="343">
                  <c:v>46182</c:v>
                </c:pt>
                <c:pt idx="344">
                  <c:v>46183</c:v>
                </c:pt>
                <c:pt idx="345">
                  <c:v>46184</c:v>
                </c:pt>
                <c:pt idx="346">
                  <c:v>46185</c:v>
                </c:pt>
                <c:pt idx="347">
                  <c:v>46186</c:v>
                </c:pt>
                <c:pt idx="348">
                  <c:v>46187</c:v>
                </c:pt>
                <c:pt idx="349">
                  <c:v>46188</c:v>
                </c:pt>
                <c:pt idx="350">
                  <c:v>46189</c:v>
                </c:pt>
                <c:pt idx="351">
                  <c:v>46190</c:v>
                </c:pt>
                <c:pt idx="352">
                  <c:v>46191</c:v>
                </c:pt>
                <c:pt idx="353">
                  <c:v>46192</c:v>
                </c:pt>
                <c:pt idx="354">
                  <c:v>46193</c:v>
                </c:pt>
                <c:pt idx="355">
                  <c:v>46194</c:v>
                </c:pt>
                <c:pt idx="356">
                  <c:v>46195</c:v>
                </c:pt>
                <c:pt idx="357">
                  <c:v>46196</c:v>
                </c:pt>
                <c:pt idx="358">
                  <c:v>46197</c:v>
                </c:pt>
                <c:pt idx="359">
                  <c:v>46198</c:v>
                </c:pt>
                <c:pt idx="360">
                  <c:v>46199</c:v>
                </c:pt>
                <c:pt idx="361">
                  <c:v>46200</c:v>
                </c:pt>
                <c:pt idx="362">
                  <c:v>46201</c:v>
                </c:pt>
                <c:pt idx="363">
                  <c:v>46202</c:v>
                </c:pt>
                <c:pt idx="364">
                  <c:v>46203</c:v>
                </c:pt>
                <c:pt idx="365">
                  <c:v>46204</c:v>
                </c:pt>
              </c:numCache>
            </c:numRef>
          </c:cat>
          <c:val>
            <c:numRef>
              <c:f>DATOS!$E$2:$E$394</c:f>
              <c:numCache>
                <c:formatCode>0.0</c:formatCode>
                <c:ptCount val="3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3.7</c:v>
                </c:pt>
                <c:pt idx="7">
                  <c:v>0</c:v>
                </c:pt>
                <c:pt idx="8">
                  <c:v>7</c:v>
                </c:pt>
                <c:pt idx="9">
                  <c:v>9.3000000000000007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0.5</c:v>
                </c:pt>
                <c:pt idx="15">
                  <c:v>9.1999999999999993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8.1999999999999993</c:v>
                </c:pt>
                <c:pt idx="23">
                  <c:v>0.7</c:v>
                </c:pt>
                <c:pt idx="24">
                  <c:v>0</c:v>
                </c:pt>
                <c:pt idx="25">
                  <c:v>1.5</c:v>
                </c:pt>
                <c:pt idx="26">
                  <c:v>1.9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0.2</c:v>
                </c:pt>
                <c:pt idx="32">
                  <c:v>0</c:v>
                </c:pt>
                <c:pt idx="33">
                  <c:v>0.3</c:v>
                </c:pt>
                <c:pt idx="34">
                  <c:v>0</c:v>
                </c:pt>
                <c:pt idx="35">
                  <c:v>0</c:v>
                </c:pt>
                <c:pt idx="36">
                  <c:v>0.1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3.7</c:v>
                </c:pt>
                <c:pt idx="47">
                  <c:v>0</c:v>
                </c:pt>
                <c:pt idx="48">
                  <c:v>13.8</c:v>
                </c:pt>
                <c:pt idx="49">
                  <c:v>27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74.8</c:v>
                </c:pt>
                <c:pt idx="61">
                  <c:v>65.3</c:v>
                </c:pt>
                <c:pt idx="62">
                  <c:v>0</c:v>
                </c:pt>
                <c:pt idx="63">
                  <c:v>0.4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0.7</c:v>
                </c:pt>
                <c:pt idx="76">
                  <c:v>25.5</c:v>
                </c:pt>
                <c:pt idx="77">
                  <c:v>0</c:v>
                </c:pt>
                <c:pt idx="78">
                  <c:v>0.3</c:v>
                </c:pt>
                <c:pt idx="79">
                  <c:v>0.3</c:v>
                </c:pt>
                <c:pt idx="80">
                  <c:v>0</c:v>
                </c:pt>
                <c:pt idx="81">
                  <c:v>17.8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0.6</c:v>
                </c:pt>
                <c:pt idx="88">
                  <c:v>26.6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15.5</c:v>
                </c:pt>
                <c:pt idx="96">
                  <c:v>6.6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2.9</c:v>
                </c:pt>
                <c:pt idx="108">
                  <c:v>14.4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6.9</c:v>
                </c:pt>
                <c:pt idx="115">
                  <c:v>16.899999999999999</c:v>
                </c:pt>
                <c:pt idx="116">
                  <c:v>25.9</c:v>
                </c:pt>
                <c:pt idx="117">
                  <c:v>0</c:v>
                </c:pt>
                <c:pt idx="118">
                  <c:v>1.9</c:v>
                </c:pt>
                <c:pt idx="119">
                  <c:v>0.5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19.8</c:v>
                </c:pt>
                <c:pt idx="124">
                  <c:v>0.5</c:v>
                </c:pt>
                <c:pt idx="125">
                  <c:v>0</c:v>
                </c:pt>
                <c:pt idx="126">
                  <c:v>10</c:v>
                </c:pt>
                <c:pt idx="127">
                  <c:v>0</c:v>
                </c:pt>
                <c:pt idx="128">
                  <c:v>0.1</c:v>
                </c:pt>
                <c:pt idx="129">
                  <c:v>17.100000000000001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2.2999999999999998</c:v>
                </c:pt>
                <c:pt idx="134">
                  <c:v>1.4</c:v>
                </c:pt>
                <c:pt idx="135">
                  <c:v>0</c:v>
                </c:pt>
                <c:pt idx="136">
                  <c:v>0</c:v>
                </c:pt>
                <c:pt idx="137">
                  <c:v>5.0999999999999996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0.1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2.9</c:v>
                </c:pt>
                <c:pt idx="150">
                  <c:v>0.5</c:v>
                </c:pt>
                <c:pt idx="151">
                  <c:v>2</c:v>
                </c:pt>
                <c:pt idx="152">
                  <c:v>0.7</c:v>
                </c:pt>
                <c:pt idx="153">
                  <c:v>1.2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1.6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0.4</c:v>
                </c:pt>
                <c:pt idx="164">
                  <c:v>0</c:v>
                </c:pt>
                <c:pt idx="165">
                  <c:v>0</c:v>
                </c:pt>
                <c:pt idx="166">
                  <c:v>4.4000000000000004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37.1</c:v>
                </c:pt>
                <c:pt idx="173">
                  <c:v>13.7</c:v>
                </c:pt>
                <c:pt idx="174">
                  <c:v>0.1</c:v>
                </c:pt>
                <c:pt idx="175">
                  <c:v>0</c:v>
                </c:pt>
                <c:pt idx="176">
                  <c:v>1.6</c:v>
                </c:pt>
                <c:pt idx="177">
                  <c:v>0</c:v>
                </c:pt>
                <c:pt idx="178">
                  <c:v>0</c:v>
                </c:pt>
                <c:pt idx="179">
                  <c:v>4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3.7</c:v>
                </c:pt>
                <c:pt idx="190">
                  <c:v>0</c:v>
                </c:pt>
                <c:pt idx="191">
                  <c:v>0.6</c:v>
                </c:pt>
                <c:pt idx="192">
                  <c:v>0.5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0.3</c:v>
                </c:pt>
                <c:pt idx="197">
                  <c:v>0</c:v>
                </c:pt>
                <c:pt idx="198">
                  <c:v>10.9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6.9</c:v>
                </c:pt>
                <c:pt idx="208">
                  <c:v>0</c:v>
                </c:pt>
                <c:pt idx="209">
                  <c:v>4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0.1</c:v>
                </c:pt>
                <c:pt idx="215">
                  <c:v>0</c:v>
                </c:pt>
                <c:pt idx="216">
                  <c:v>0.2</c:v>
                </c:pt>
                <c:pt idx="217">
                  <c:v>0.4</c:v>
                </c:pt>
                <c:pt idx="218">
                  <c:v>11.8</c:v>
                </c:pt>
                <c:pt idx="219">
                  <c:v>12.6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0.4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0.1</c:v>
                </c:pt>
                <c:pt idx="229">
                  <c:v>33.9</c:v>
                </c:pt>
                <c:pt idx="230">
                  <c:v>0</c:v>
                </c:pt>
                <c:pt idx="231">
                  <c:v>0.8</c:v>
                </c:pt>
                <c:pt idx="232">
                  <c:v>5.6</c:v>
                </c:pt>
                <c:pt idx="233">
                  <c:v>17.2</c:v>
                </c:pt>
                <c:pt idx="234">
                  <c:v>0</c:v>
                </c:pt>
                <c:pt idx="235">
                  <c:v>2.2999999999999998</c:v>
                </c:pt>
                <c:pt idx="236">
                  <c:v>3.3</c:v>
                </c:pt>
                <c:pt idx="237">
                  <c:v>0.2</c:v>
                </c:pt>
                <c:pt idx="238">
                  <c:v>0</c:v>
                </c:pt>
                <c:pt idx="239">
                  <c:v>0</c:v>
                </c:pt>
                <c:pt idx="240">
                  <c:v>0.2</c:v>
                </c:pt>
                <c:pt idx="241">
                  <c:v>0</c:v>
                </c:pt>
                <c:pt idx="242">
                  <c:v>0.1</c:v>
                </c:pt>
                <c:pt idx="243">
                  <c:v>0</c:v>
                </c:pt>
                <c:pt idx="244">
                  <c:v>13.9</c:v>
                </c:pt>
                <c:pt idx="245">
                  <c:v>1</c:v>
                </c:pt>
                <c:pt idx="246">
                  <c:v>0</c:v>
                </c:pt>
                <c:pt idx="247">
                  <c:v>6.9</c:v>
                </c:pt>
                <c:pt idx="248">
                  <c:v>6.3</c:v>
                </c:pt>
                <c:pt idx="249">
                  <c:v>1.2</c:v>
                </c:pt>
                <c:pt idx="250">
                  <c:v>37.9</c:v>
                </c:pt>
                <c:pt idx="251">
                  <c:v>1.1000000000000001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1.4</c:v>
                </c:pt>
                <c:pt idx="256">
                  <c:v>7.1</c:v>
                </c:pt>
                <c:pt idx="257">
                  <c:v>0</c:v>
                </c:pt>
                <c:pt idx="258">
                  <c:v>1</c:v>
                </c:pt>
                <c:pt idx="259">
                  <c:v>15.1</c:v>
                </c:pt>
                <c:pt idx="260">
                  <c:v>0</c:v>
                </c:pt>
                <c:pt idx="261">
                  <c:v>0</c:v>
                </c:pt>
                <c:pt idx="262">
                  <c:v>9.1</c:v>
                </c:pt>
                <c:pt idx="263">
                  <c:v>18.8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19.100000000000001</c:v>
                </c:pt>
                <c:pt idx="271">
                  <c:v>8.4</c:v>
                </c:pt>
                <c:pt idx="272">
                  <c:v>0.1</c:v>
                </c:pt>
                <c:pt idx="273">
                  <c:v>0</c:v>
                </c:pt>
                <c:pt idx="274">
                  <c:v>3.6</c:v>
                </c:pt>
                <c:pt idx="275">
                  <c:v>12.5</c:v>
                </c:pt>
                <c:pt idx="276">
                  <c:v>8</c:v>
                </c:pt>
                <c:pt idx="277">
                  <c:v>2.6</c:v>
                </c:pt>
                <c:pt idx="278">
                  <c:v>4.5</c:v>
                </c:pt>
                <c:pt idx="279">
                  <c:v>6.1</c:v>
                </c:pt>
                <c:pt idx="280">
                  <c:v>3.2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4.9000000000000004</c:v>
                </c:pt>
                <c:pt idx="285">
                  <c:v>0</c:v>
                </c:pt>
                <c:pt idx="286">
                  <c:v>0</c:v>
                </c:pt>
                <c:pt idx="287">
                  <c:v>2.5</c:v>
                </c:pt>
                <c:pt idx="288">
                  <c:v>1</c:v>
                </c:pt>
                <c:pt idx="289">
                  <c:v>0</c:v>
                </c:pt>
                <c:pt idx="290">
                  <c:v>0</c:v>
                </c:pt>
                <c:pt idx="291">
                  <c:v>0.2</c:v>
                </c:pt>
                <c:pt idx="292">
                  <c:v>5.2</c:v>
                </c:pt>
                <c:pt idx="293">
                  <c:v>2.7</c:v>
                </c:pt>
                <c:pt idx="294">
                  <c:v>4.9000000000000004</c:v>
                </c:pt>
                <c:pt idx="295">
                  <c:v>0</c:v>
                </c:pt>
                <c:pt idx="296">
                  <c:v>0</c:v>
                </c:pt>
                <c:pt idx="297">
                  <c:v>0.2</c:v>
                </c:pt>
                <c:pt idx="298">
                  <c:v>3.2</c:v>
                </c:pt>
                <c:pt idx="299">
                  <c:v>0</c:v>
                </c:pt>
                <c:pt idx="300">
                  <c:v>0</c:v>
                </c:pt>
                <c:pt idx="301">
                  <c:v>2.1</c:v>
                </c:pt>
                <c:pt idx="302">
                  <c:v>0.1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0.3</c:v>
                </c:pt>
                <c:pt idx="309">
                  <c:v>3.9</c:v>
                </c:pt>
                <c:pt idx="310">
                  <c:v>0</c:v>
                </c:pt>
                <c:pt idx="311">
                  <c:v>0.1</c:v>
                </c:pt>
                <c:pt idx="312">
                  <c:v>0.2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7.3</c:v>
                </c:pt>
                <c:pt idx="320">
                  <c:v>1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0.7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0.7</c:v>
                </c:pt>
                <c:pt idx="336">
                  <c:v>0</c:v>
                </c:pt>
                <c:pt idx="337">
                  <c:v>0.8</c:v>
                </c:pt>
                <c:pt idx="338">
                  <c:v>7.3</c:v>
                </c:pt>
                <c:pt idx="339">
                  <c:v>2.2000000000000002</c:v>
                </c:pt>
                <c:pt idx="340">
                  <c:v>0.3</c:v>
                </c:pt>
                <c:pt idx="341">
                  <c:v>5.0999999999999996</c:v>
                </c:pt>
                <c:pt idx="342">
                  <c:v>1.1000000000000001</c:v>
                </c:pt>
                <c:pt idx="343">
                  <c:v>0</c:v>
                </c:pt>
                <c:pt idx="344">
                  <c:v>0.1</c:v>
                </c:pt>
                <c:pt idx="345">
                  <c:v>0</c:v>
                </c:pt>
                <c:pt idx="346">
                  <c:v>0</c:v>
                </c:pt>
                <c:pt idx="347">
                  <c:v>0.1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0.3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1.3</c:v>
                </c:pt>
                <c:pt idx="357">
                  <c:v>0</c:v>
                </c:pt>
                <c:pt idx="358">
                  <c:v>0</c:v>
                </c:pt>
                <c:pt idx="359">
                  <c:v>0.1</c:v>
                </c:pt>
                <c:pt idx="360">
                  <c:v>0</c:v>
                </c:pt>
                <c:pt idx="361">
                  <c:v>0</c:v>
                </c:pt>
                <c:pt idx="362">
                  <c:v>0.5</c:v>
                </c:pt>
                <c:pt idx="363">
                  <c:v>0</c:v>
                </c:pt>
                <c:pt idx="364">
                  <c:v>0</c:v>
                </c:pt>
                <c:pt idx="365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6D-48FE-8555-A72D76479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14919552"/>
        <c:axId val="914930368"/>
      </c:barChart>
      <c:lineChart>
        <c:grouping val="standard"/>
        <c:varyColors val="0"/>
        <c:ser>
          <c:idx val="0"/>
          <c:order val="0"/>
          <c:tx>
            <c:strRef>
              <c:f>DATOS!$B$1</c:f>
              <c:strCache>
                <c:ptCount val="1"/>
                <c:pt idx="0">
                  <c:v>Temp MAX</c:v>
                </c:pt>
              </c:strCache>
            </c:strRef>
          </c:tx>
          <c:spPr>
            <a:ln w="9525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16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A87E-46A8-BF24-C03FB9B31949}"/>
              </c:ext>
            </c:extLst>
          </c:dPt>
          <c:cat>
            <c:numRef>
              <c:f>DATOS!$A$2:$A$394</c:f>
              <c:numCache>
                <c:formatCode>dd/mm/yyyy</c:formatCode>
                <c:ptCount val="393"/>
                <c:pt idx="0">
                  <c:v>45839</c:v>
                </c:pt>
                <c:pt idx="1">
                  <c:v>45840</c:v>
                </c:pt>
                <c:pt idx="2">
                  <c:v>45841</c:v>
                </c:pt>
                <c:pt idx="3">
                  <c:v>45842</c:v>
                </c:pt>
                <c:pt idx="4">
                  <c:v>45843</c:v>
                </c:pt>
                <c:pt idx="5">
                  <c:v>45844</c:v>
                </c:pt>
                <c:pt idx="6">
                  <c:v>45845</c:v>
                </c:pt>
                <c:pt idx="7">
                  <c:v>45846</c:v>
                </c:pt>
                <c:pt idx="8">
                  <c:v>45847</c:v>
                </c:pt>
                <c:pt idx="9">
                  <c:v>45848</c:v>
                </c:pt>
                <c:pt idx="10">
                  <c:v>45849</c:v>
                </c:pt>
                <c:pt idx="11">
                  <c:v>45850</c:v>
                </c:pt>
                <c:pt idx="12">
                  <c:v>45851</c:v>
                </c:pt>
                <c:pt idx="13">
                  <c:v>45852</c:v>
                </c:pt>
                <c:pt idx="14">
                  <c:v>45853</c:v>
                </c:pt>
                <c:pt idx="15">
                  <c:v>45854</c:v>
                </c:pt>
                <c:pt idx="16">
                  <c:v>45855</c:v>
                </c:pt>
                <c:pt idx="17">
                  <c:v>45856</c:v>
                </c:pt>
                <c:pt idx="18">
                  <c:v>45857</c:v>
                </c:pt>
                <c:pt idx="19">
                  <c:v>45858</c:v>
                </c:pt>
                <c:pt idx="20">
                  <c:v>45859</c:v>
                </c:pt>
                <c:pt idx="21">
                  <c:v>45860</c:v>
                </c:pt>
                <c:pt idx="22">
                  <c:v>45861</c:v>
                </c:pt>
                <c:pt idx="23">
                  <c:v>45862</c:v>
                </c:pt>
                <c:pt idx="24">
                  <c:v>45863</c:v>
                </c:pt>
                <c:pt idx="25">
                  <c:v>45864</c:v>
                </c:pt>
                <c:pt idx="26">
                  <c:v>45865</c:v>
                </c:pt>
                <c:pt idx="27">
                  <c:v>45866</c:v>
                </c:pt>
                <c:pt idx="28">
                  <c:v>45867</c:v>
                </c:pt>
                <c:pt idx="29">
                  <c:v>45868</c:v>
                </c:pt>
                <c:pt idx="30">
                  <c:v>45869</c:v>
                </c:pt>
                <c:pt idx="31">
                  <c:v>45870</c:v>
                </c:pt>
                <c:pt idx="32">
                  <c:v>45871</c:v>
                </c:pt>
                <c:pt idx="33">
                  <c:v>45872</c:v>
                </c:pt>
                <c:pt idx="34">
                  <c:v>45873</c:v>
                </c:pt>
                <c:pt idx="35">
                  <c:v>45874</c:v>
                </c:pt>
                <c:pt idx="36">
                  <c:v>45875</c:v>
                </c:pt>
                <c:pt idx="37">
                  <c:v>45876</c:v>
                </c:pt>
                <c:pt idx="38">
                  <c:v>45877</c:v>
                </c:pt>
                <c:pt idx="39">
                  <c:v>45878</c:v>
                </c:pt>
                <c:pt idx="40">
                  <c:v>45879</c:v>
                </c:pt>
                <c:pt idx="41">
                  <c:v>45880</c:v>
                </c:pt>
                <c:pt idx="42">
                  <c:v>45881</c:v>
                </c:pt>
                <c:pt idx="43">
                  <c:v>45882</c:v>
                </c:pt>
                <c:pt idx="44">
                  <c:v>45883</c:v>
                </c:pt>
                <c:pt idx="45">
                  <c:v>45884</c:v>
                </c:pt>
                <c:pt idx="46">
                  <c:v>45885</c:v>
                </c:pt>
                <c:pt idx="47">
                  <c:v>45886</c:v>
                </c:pt>
                <c:pt idx="48">
                  <c:v>45887</c:v>
                </c:pt>
                <c:pt idx="49">
                  <c:v>45888</c:v>
                </c:pt>
                <c:pt idx="50">
                  <c:v>45889</c:v>
                </c:pt>
                <c:pt idx="51">
                  <c:v>45890</c:v>
                </c:pt>
                <c:pt idx="52">
                  <c:v>45891</c:v>
                </c:pt>
                <c:pt idx="53">
                  <c:v>45892</c:v>
                </c:pt>
                <c:pt idx="54">
                  <c:v>45893</c:v>
                </c:pt>
                <c:pt idx="55">
                  <c:v>45894</c:v>
                </c:pt>
                <c:pt idx="56">
                  <c:v>45895</c:v>
                </c:pt>
                <c:pt idx="57">
                  <c:v>45896</c:v>
                </c:pt>
                <c:pt idx="58">
                  <c:v>45897</c:v>
                </c:pt>
                <c:pt idx="59">
                  <c:v>45898</c:v>
                </c:pt>
                <c:pt idx="60">
                  <c:v>45899</c:v>
                </c:pt>
                <c:pt idx="61">
                  <c:v>45900</c:v>
                </c:pt>
                <c:pt idx="62">
                  <c:v>45901</c:v>
                </c:pt>
                <c:pt idx="63">
                  <c:v>45902</c:v>
                </c:pt>
                <c:pt idx="64">
                  <c:v>45903</c:v>
                </c:pt>
                <c:pt idx="65">
                  <c:v>45904</c:v>
                </c:pt>
                <c:pt idx="66">
                  <c:v>45905</c:v>
                </c:pt>
                <c:pt idx="67">
                  <c:v>45906</c:v>
                </c:pt>
                <c:pt idx="68">
                  <c:v>45907</c:v>
                </c:pt>
                <c:pt idx="69">
                  <c:v>45908</c:v>
                </c:pt>
                <c:pt idx="70">
                  <c:v>45909</c:v>
                </c:pt>
                <c:pt idx="71">
                  <c:v>45910</c:v>
                </c:pt>
                <c:pt idx="72">
                  <c:v>45911</c:v>
                </c:pt>
                <c:pt idx="73">
                  <c:v>45912</c:v>
                </c:pt>
                <c:pt idx="74">
                  <c:v>45913</c:v>
                </c:pt>
                <c:pt idx="75">
                  <c:v>45914</c:v>
                </c:pt>
                <c:pt idx="76">
                  <c:v>45915</c:v>
                </c:pt>
                <c:pt idx="77">
                  <c:v>45916</c:v>
                </c:pt>
                <c:pt idx="78">
                  <c:v>45917</c:v>
                </c:pt>
                <c:pt idx="79">
                  <c:v>45918</c:v>
                </c:pt>
                <c:pt idx="80">
                  <c:v>45919</c:v>
                </c:pt>
                <c:pt idx="81">
                  <c:v>45920</c:v>
                </c:pt>
                <c:pt idx="82">
                  <c:v>45921</c:v>
                </c:pt>
                <c:pt idx="83">
                  <c:v>45922</c:v>
                </c:pt>
                <c:pt idx="84">
                  <c:v>45923</c:v>
                </c:pt>
                <c:pt idx="85">
                  <c:v>45924</c:v>
                </c:pt>
                <c:pt idx="86">
                  <c:v>45925</c:v>
                </c:pt>
                <c:pt idx="87">
                  <c:v>45926</c:v>
                </c:pt>
                <c:pt idx="88">
                  <c:v>45927</c:v>
                </c:pt>
                <c:pt idx="89">
                  <c:v>45928</c:v>
                </c:pt>
                <c:pt idx="90">
                  <c:v>45929</c:v>
                </c:pt>
                <c:pt idx="91">
                  <c:v>45930</c:v>
                </c:pt>
                <c:pt idx="92">
                  <c:v>45931</c:v>
                </c:pt>
                <c:pt idx="93">
                  <c:v>45932</c:v>
                </c:pt>
                <c:pt idx="94">
                  <c:v>45933</c:v>
                </c:pt>
                <c:pt idx="95">
                  <c:v>45934</c:v>
                </c:pt>
                <c:pt idx="96">
                  <c:v>45935</c:v>
                </c:pt>
                <c:pt idx="97">
                  <c:v>45936</c:v>
                </c:pt>
                <c:pt idx="98">
                  <c:v>45937</c:v>
                </c:pt>
                <c:pt idx="99">
                  <c:v>45938</c:v>
                </c:pt>
                <c:pt idx="100">
                  <c:v>45939</c:v>
                </c:pt>
                <c:pt idx="101">
                  <c:v>45940</c:v>
                </c:pt>
                <c:pt idx="102">
                  <c:v>45941</c:v>
                </c:pt>
                <c:pt idx="103">
                  <c:v>45942</c:v>
                </c:pt>
                <c:pt idx="104">
                  <c:v>45943</c:v>
                </c:pt>
                <c:pt idx="105">
                  <c:v>45944</c:v>
                </c:pt>
                <c:pt idx="106">
                  <c:v>45945</c:v>
                </c:pt>
                <c:pt idx="107">
                  <c:v>45946</c:v>
                </c:pt>
                <c:pt idx="108">
                  <c:v>45947</c:v>
                </c:pt>
                <c:pt idx="109">
                  <c:v>45948</c:v>
                </c:pt>
                <c:pt idx="110">
                  <c:v>45949</c:v>
                </c:pt>
                <c:pt idx="111">
                  <c:v>45950</c:v>
                </c:pt>
                <c:pt idx="112">
                  <c:v>45951</c:v>
                </c:pt>
                <c:pt idx="113">
                  <c:v>45952</c:v>
                </c:pt>
                <c:pt idx="114">
                  <c:v>45953</c:v>
                </c:pt>
                <c:pt idx="115">
                  <c:v>45954</c:v>
                </c:pt>
                <c:pt idx="116">
                  <c:v>45955</c:v>
                </c:pt>
                <c:pt idx="117">
                  <c:v>45956</c:v>
                </c:pt>
                <c:pt idx="118">
                  <c:v>45957</c:v>
                </c:pt>
                <c:pt idx="119">
                  <c:v>45958</c:v>
                </c:pt>
                <c:pt idx="120">
                  <c:v>45959</c:v>
                </c:pt>
                <c:pt idx="121">
                  <c:v>45960</c:v>
                </c:pt>
                <c:pt idx="122">
                  <c:v>45961</c:v>
                </c:pt>
                <c:pt idx="123">
                  <c:v>45962</c:v>
                </c:pt>
                <c:pt idx="124">
                  <c:v>45963</c:v>
                </c:pt>
                <c:pt idx="125">
                  <c:v>45964</c:v>
                </c:pt>
                <c:pt idx="126">
                  <c:v>45965</c:v>
                </c:pt>
                <c:pt idx="127">
                  <c:v>45966</c:v>
                </c:pt>
                <c:pt idx="128">
                  <c:v>45967</c:v>
                </c:pt>
                <c:pt idx="129">
                  <c:v>45968</c:v>
                </c:pt>
                <c:pt idx="130">
                  <c:v>45969</c:v>
                </c:pt>
                <c:pt idx="131">
                  <c:v>45970</c:v>
                </c:pt>
                <c:pt idx="132">
                  <c:v>45971</c:v>
                </c:pt>
                <c:pt idx="133">
                  <c:v>45972</c:v>
                </c:pt>
                <c:pt idx="134">
                  <c:v>45973</c:v>
                </c:pt>
                <c:pt idx="135">
                  <c:v>45974</c:v>
                </c:pt>
                <c:pt idx="136">
                  <c:v>45975</c:v>
                </c:pt>
                <c:pt idx="137">
                  <c:v>45976</c:v>
                </c:pt>
                <c:pt idx="138">
                  <c:v>45977</c:v>
                </c:pt>
                <c:pt idx="139">
                  <c:v>45978</c:v>
                </c:pt>
                <c:pt idx="140">
                  <c:v>45979</c:v>
                </c:pt>
                <c:pt idx="141">
                  <c:v>45980</c:v>
                </c:pt>
                <c:pt idx="142">
                  <c:v>45981</c:v>
                </c:pt>
                <c:pt idx="143">
                  <c:v>45982</c:v>
                </c:pt>
                <c:pt idx="144">
                  <c:v>45983</c:v>
                </c:pt>
                <c:pt idx="145">
                  <c:v>45984</c:v>
                </c:pt>
                <c:pt idx="146">
                  <c:v>45985</c:v>
                </c:pt>
                <c:pt idx="147">
                  <c:v>45986</c:v>
                </c:pt>
                <c:pt idx="148">
                  <c:v>45987</c:v>
                </c:pt>
                <c:pt idx="149">
                  <c:v>45988</c:v>
                </c:pt>
                <c:pt idx="150">
                  <c:v>45989</c:v>
                </c:pt>
                <c:pt idx="151">
                  <c:v>45990</c:v>
                </c:pt>
                <c:pt idx="152">
                  <c:v>45991</c:v>
                </c:pt>
                <c:pt idx="153">
                  <c:v>45992</c:v>
                </c:pt>
                <c:pt idx="154">
                  <c:v>45993</c:v>
                </c:pt>
                <c:pt idx="155">
                  <c:v>45994</c:v>
                </c:pt>
                <c:pt idx="156">
                  <c:v>45995</c:v>
                </c:pt>
                <c:pt idx="157">
                  <c:v>45996</c:v>
                </c:pt>
                <c:pt idx="158">
                  <c:v>45997</c:v>
                </c:pt>
                <c:pt idx="159">
                  <c:v>45998</c:v>
                </c:pt>
                <c:pt idx="160">
                  <c:v>45999</c:v>
                </c:pt>
                <c:pt idx="161">
                  <c:v>46000</c:v>
                </c:pt>
                <c:pt idx="162">
                  <c:v>46001</c:v>
                </c:pt>
                <c:pt idx="163">
                  <c:v>46002</c:v>
                </c:pt>
                <c:pt idx="164">
                  <c:v>46003</c:v>
                </c:pt>
                <c:pt idx="165">
                  <c:v>46004</c:v>
                </c:pt>
                <c:pt idx="166">
                  <c:v>46005</c:v>
                </c:pt>
                <c:pt idx="167">
                  <c:v>46006</c:v>
                </c:pt>
                <c:pt idx="168">
                  <c:v>46007</c:v>
                </c:pt>
                <c:pt idx="169">
                  <c:v>46008</c:v>
                </c:pt>
                <c:pt idx="170">
                  <c:v>46009</c:v>
                </c:pt>
                <c:pt idx="171">
                  <c:v>46010</c:v>
                </c:pt>
                <c:pt idx="172">
                  <c:v>46011</c:v>
                </c:pt>
                <c:pt idx="173">
                  <c:v>46012</c:v>
                </c:pt>
                <c:pt idx="174">
                  <c:v>46013</c:v>
                </c:pt>
                <c:pt idx="175">
                  <c:v>46014</c:v>
                </c:pt>
                <c:pt idx="176">
                  <c:v>46015</c:v>
                </c:pt>
                <c:pt idx="177">
                  <c:v>46016</c:v>
                </c:pt>
                <c:pt idx="178">
                  <c:v>46017</c:v>
                </c:pt>
                <c:pt idx="179">
                  <c:v>46018</c:v>
                </c:pt>
                <c:pt idx="180">
                  <c:v>46019</c:v>
                </c:pt>
                <c:pt idx="181">
                  <c:v>46020</c:v>
                </c:pt>
                <c:pt idx="182">
                  <c:v>46021</c:v>
                </c:pt>
                <c:pt idx="183">
                  <c:v>46022</c:v>
                </c:pt>
                <c:pt idx="184">
                  <c:v>46023</c:v>
                </c:pt>
                <c:pt idx="185">
                  <c:v>46024</c:v>
                </c:pt>
                <c:pt idx="186">
                  <c:v>46025</c:v>
                </c:pt>
                <c:pt idx="187">
                  <c:v>46026</c:v>
                </c:pt>
                <c:pt idx="188">
                  <c:v>46027</c:v>
                </c:pt>
                <c:pt idx="189">
                  <c:v>46028</c:v>
                </c:pt>
                <c:pt idx="190">
                  <c:v>46029</c:v>
                </c:pt>
                <c:pt idx="191">
                  <c:v>46030</c:v>
                </c:pt>
                <c:pt idx="192">
                  <c:v>46031</c:v>
                </c:pt>
                <c:pt idx="193">
                  <c:v>46032</c:v>
                </c:pt>
                <c:pt idx="194">
                  <c:v>46033</c:v>
                </c:pt>
                <c:pt idx="195">
                  <c:v>46034</c:v>
                </c:pt>
                <c:pt idx="196">
                  <c:v>46035</c:v>
                </c:pt>
                <c:pt idx="197">
                  <c:v>46036</c:v>
                </c:pt>
                <c:pt idx="198">
                  <c:v>46037</c:v>
                </c:pt>
                <c:pt idx="199">
                  <c:v>46038</c:v>
                </c:pt>
                <c:pt idx="200">
                  <c:v>46039</c:v>
                </c:pt>
                <c:pt idx="201">
                  <c:v>46040</c:v>
                </c:pt>
                <c:pt idx="202">
                  <c:v>46041</c:v>
                </c:pt>
                <c:pt idx="203">
                  <c:v>46042</c:v>
                </c:pt>
                <c:pt idx="204">
                  <c:v>46043</c:v>
                </c:pt>
                <c:pt idx="205">
                  <c:v>46044</c:v>
                </c:pt>
                <c:pt idx="206">
                  <c:v>46045</c:v>
                </c:pt>
                <c:pt idx="207">
                  <c:v>46046</c:v>
                </c:pt>
                <c:pt idx="208">
                  <c:v>46047</c:v>
                </c:pt>
                <c:pt idx="209">
                  <c:v>46048</c:v>
                </c:pt>
                <c:pt idx="210">
                  <c:v>46049</c:v>
                </c:pt>
                <c:pt idx="211">
                  <c:v>46050</c:v>
                </c:pt>
                <c:pt idx="212">
                  <c:v>46051</c:v>
                </c:pt>
                <c:pt idx="213">
                  <c:v>46052</c:v>
                </c:pt>
                <c:pt idx="214">
                  <c:v>46053</c:v>
                </c:pt>
                <c:pt idx="215">
                  <c:v>46054</c:v>
                </c:pt>
                <c:pt idx="216">
                  <c:v>46055</c:v>
                </c:pt>
                <c:pt idx="217">
                  <c:v>46056</c:v>
                </c:pt>
                <c:pt idx="218">
                  <c:v>46057</c:v>
                </c:pt>
                <c:pt idx="219">
                  <c:v>46058</c:v>
                </c:pt>
                <c:pt idx="220">
                  <c:v>46059</c:v>
                </c:pt>
                <c:pt idx="221">
                  <c:v>46060</c:v>
                </c:pt>
                <c:pt idx="222">
                  <c:v>46061</c:v>
                </c:pt>
                <c:pt idx="223">
                  <c:v>46062</c:v>
                </c:pt>
                <c:pt idx="224">
                  <c:v>46063</c:v>
                </c:pt>
                <c:pt idx="225">
                  <c:v>46064</c:v>
                </c:pt>
                <c:pt idx="226">
                  <c:v>46065</c:v>
                </c:pt>
                <c:pt idx="227">
                  <c:v>46066</c:v>
                </c:pt>
                <c:pt idx="228">
                  <c:v>46067</c:v>
                </c:pt>
                <c:pt idx="229">
                  <c:v>46068</c:v>
                </c:pt>
                <c:pt idx="230">
                  <c:v>46069</c:v>
                </c:pt>
                <c:pt idx="231">
                  <c:v>46070</c:v>
                </c:pt>
                <c:pt idx="232">
                  <c:v>46071</c:v>
                </c:pt>
                <c:pt idx="233">
                  <c:v>46072</c:v>
                </c:pt>
                <c:pt idx="234">
                  <c:v>46073</c:v>
                </c:pt>
                <c:pt idx="235">
                  <c:v>46074</c:v>
                </c:pt>
                <c:pt idx="236">
                  <c:v>46075</c:v>
                </c:pt>
                <c:pt idx="237">
                  <c:v>46076</c:v>
                </c:pt>
                <c:pt idx="238">
                  <c:v>46077</c:v>
                </c:pt>
                <c:pt idx="239">
                  <c:v>46078</c:v>
                </c:pt>
                <c:pt idx="240">
                  <c:v>46079</c:v>
                </c:pt>
                <c:pt idx="241">
                  <c:v>46080</c:v>
                </c:pt>
                <c:pt idx="242">
                  <c:v>46081</c:v>
                </c:pt>
                <c:pt idx="243">
                  <c:v>46082</c:v>
                </c:pt>
                <c:pt idx="244">
                  <c:v>46083</c:v>
                </c:pt>
                <c:pt idx="245">
                  <c:v>46084</c:v>
                </c:pt>
                <c:pt idx="246">
                  <c:v>46085</c:v>
                </c:pt>
                <c:pt idx="247">
                  <c:v>46086</c:v>
                </c:pt>
                <c:pt idx="248">
                  <c:v>46087</c:v>
                </c:pt>
                <c:pt idx="249">
                  <c:v>46088</c:v>
                </c:pt>
                <c:pt idx="250">
                  <c:v>46089</c:v>
                </c:pt>
                <c:pt idx="251">
                  <c:v>46090</c:v>
                </c:pt>
                <c:pt idx="252">
                  <c:v>46091</c:v>
                </c:pt>
                <c:pt idx="253">
                  <c:v>46092</c:v>
                </c:pt>
                <c:pt idx="254">
                  <c:v>46093</c:v>
                </c:pt>
                <c:pt idx="255">
                  <c:v>46094</c:v>
                </c:pt>
                <c:pt idx="256">
                  <c:v>46095</c:v>
                </c:pt>
                <c:pt idx="257">
                  <c:v>46096</c:v>
                </c:pt>
                <c:pt idx="258">
                  <c:v>46097</c:v>
                </c:pt>
                <c:pt idx="259">
                  <c:v>46098</c:v>
                </c:pt>
                <c:pt idx="260">
                  <c:v>46099</c:v>
                </c:pt>
                <c:pt idx="261">
                  <c:v>46100</c:v>
                </c:pt>
                <c:pt idx="262">
                  <c:v>46101</c:v>
                </c:pt>
                <c:pt idx="263">
                  <c:v>46102</c:v>
                </c:pt>
                <c:pt idx="264">
                  <c:v>46103</c:v>
                </c:pt>
                <c:pt idx="265">
                  <c:v>46104</c:v>
                </c:pt>
                <c:pt idx="266">
                  <c:v>46105</c:v>
                </c:pt>
                <c:pt idx="267">
                  <c:v>46106</c:v>
                </c:pt>
                <c:pt idx="268">
                  <c:v>46107</c:v>
                </c:pt>
                <c:pt idx="269">
                  <c:v>46108</c:v>
                </c:pt>
                <c:pt idx="270">
                  <c:v>46109</c:v>
                </c:pt>
                <c:pt idx="271">
                  <c:v>46110</c:v>
                </c:pt>
                <c:pt idx="272">
                  <c:v>46111</c:v>
                </c:pt>
                <c:pt idx="273">
                  <c:v>46112</c:v>
                </c:pt>
                <c:pt idx="274">
                  <c:v>46113</c:v>
                </c:pt>
                <c:pt idx="275">
                  <c:v>46114</c:v>
                </c:pt>
                <c:pt idx="276">
                  <c:v>46115</c:v>
                </c:pt>
                <c:pt idx="277">
                  <c:v>46116</c:v>
                </c:pt>
                <c:pt idx="278">
                  <c:v>46117</c:v>
                </c:pt>
                <c:pt idx="279">
                  <c:v>46118</c:v>
                </c:pt>
                <c:pt idx="280">
                  <c:v>46119</c:v>
                </c:pt>
                <c:pt idx="281">
                  <c:v>46120</c:v>
                </c:pt>
                <c:pt idx="282">
                  <c:v>46121</c:v>
                </c:pt>
                <c:pt idx="283">
                  <c:v>46122</c:v>
                </c:pt>
                <c:pt idx="284">
                  <c:v>46123</c:v>
                </c:pt>
                <c:pt idx="285">
                  <c:v>46124</c:v>
                </c:pt>
                <c:pt idx="286">
                  <c:v>46125</c:v>
                </c:pt>
                <c:pt idx="287">
                  <c:v>46126</c:v>
                </c:pt>
                <c:pt idx="288">
                  <c:v>46127</c:v>
                </c:pt>
                <c:pt idx="289">
                  <c:v>46128</c:v>
                </c:pt>
                <c:pt idx="290">
                  <c:v>46129</c:v>
                </c:pt>
                <c:pt idx="291">
                  <c:v>46130</c:v>
                </c:pt>
                <c:pt idx="292">
                  <c:v>46131</c:v>
                </c:pt>
                <c:pt idx="293">
                  <c:v>46132</c:v>
                </c:pt>
                <c:pt idx="294">
                  <c:v>46133</c:v>
                </c:pt>
                <c:pt idx="295">
                  <c:v>46134</c:v>
                </c:pt>
                <c:pt idx="296">
                  <c:v>46135</c:v>
                </c:pt>
                <c:pt idx="297">
                  <c:v>46136</c:v>
                </c:pt>
                <c:pt idx="298">
                  <c:v>46137</c:v>
                </c:pt>
                <c:pt idx="299">
                  <c:v>46138</c:v>
                </c:pt>
                <c:pt idx="300">
                  <c:v>46139</c:v>
                </c:pt>
                <c:pt idx="301">
                  <c:v>46140</c:v>
                </c:pt>
                <c:pt idx="302">
                  <c:v>46141</c:v>
                </c:pt>
                <c:pt idx="303">
                  <c:v>46142</c:v>
                </c:pt>
                <c:pt idx="304">
                  <c:v>46143</c:v>
                </c:pt>
                <c:pt idx="305">
                  <c:v>46144</c:v>
                </c:pt>
                <c:pt idx="306">
                  <c:v>46145</c:v>
                </c:pt>
                <c:pt idx="307">
                  <c:v>46146</c:v>
                </c:pt>
                <c:pt idx="308">
                  <c:v>46147</c:v>
                </c:pt>
                <c:pt idx="309">
                  <c:v>46148</c:v>
                </c:pt>
                <c:pt idx="310">
                  <c:v>46149</c:v>
                </c:pt>
                <c:pt idx="311">
                  <c:v>46150</c:v>
                </c:pt>
                <c:pt idx="312">
                  <c:v>46151</c:v>
                </c:pt>
                <c:pt idx="313">
                  <c:v>46152</c:v>
                </c:pt>
                <c:pt idx="314">
                  <c:v>46153</c:v>
                </c:pt>
                <c:pt idx="315">
                  <c:v>46154</c:v>
                </c:pt>
                <c:pt idx="316">
                  <c:v>46155</c:v>
                </c:pt>
                <c:pt idx="317">
                  <c:v>46156</c:v>
                </c:pt>
                <c:pt idx="318">
                  <c:v>46157</c:v>
                </c:pt>
                <c:pt idx="319">
                  <c:v>46158</c:v>
                </c:pt>
                <c:pt idx="320">
                  <c:v>46159</c:v>
                </c:pt>
                <c:pt idx="321">
                  <c:v>46160</c:v>
                </c:pt>
                <c:pt idx="322">
                  <c:v>46161</c:v>
                </c:pt>
                <c:pt idx="323">
                  <c:v>46162</c:v>
                </c:pt>
                <c:pt idx="324">
                  <c:v>46163</c:v>
                </c:pt>
                <c:pt idx="325">
                  <c:v>46164</c:v>
                </c:pt>
                <c:pt idx="326">
                  <c:v>46165</c:v>
                </c:pt>
                <c:pt idx="327">
                  <c:v>46166</c:v>
                </c:pt>
                <c:pt idx="328">
                  <c:v>46167</c:v>
                </c:pt>
                <c:pt idx="329">
                  <c:v>46168</c:v>
                </c:pt>
                <c:pt idx="330">
                  <c:v>46169</c:v>
                </c:pt>
                <c:pt idx="331">
                  <c:v>46170</c:v>
                </c:pt>
                <c:pt idx="332">
                  <c:v>46171</c:v>
                </c:pt>
                <c:pt idx="333">
                  <c:v>46172</c:v>
                </c:pt>
                <c:pt idx="334">
                  <c:v>46173</c:v>
                </c:pt>
                <c:pt idx="335">
                  <c:v>46174</c:v>
                </c:pt>
                <c:pt idx="336">
                  <c:v>46175</c:v>
                </c:pt>
                <c:pt idx="337">
                  <c:v>46176</c:v>
                </c:pt>
                <c:pt idx="338">
                  <c:v>46177</c:v>
                </c:pt>
                <c:pt idx="339">
                  <c:v>46178</c:v>
                </c:pt>
                <c:pt idx="340">
                  <c:v>46179</c:v>
                </c:pt>
                <c:pt idx="341">
                  <c:v>46180</c:v>
                </c:pt>
                <c:pt idx="342">
                  <c:v>46181</c:v>
                </c:pt>
                <c:pt idx="343">
                  <c:v>46182</c:v>
                </c:pt>
                <c:pt idx="344">
                  <c:v>46183</c:v>
                </c:pt>
                <c:pt idx="345">
                  <c:v>46184</c:v>
                </c:pt>
                <c:pt idx="346">
                  <c:v>46185</c:v>
                </c:pt>
                <c:pt idx="347">
                  <c:v>46186</c:v>
                </c:pt>
                <c:pt idx="348">
                  <c:v>46187</c:v>
                </c:pt>
                <c:pt idx="349">
                  <c:v>46188</c:v>
                </c:pt>
                <c:pt idx="350">
                  <c:v>46189</c:v>
                </c:pt>
                <c:pt idx="351">
                  <c:v>46190</c:v>
                </c:pt>
                <c:pt idx="352">
                  <c:v>46191</c:v>
                </c:pt>
                <c:pt idx="353">
                  <c:v>46192</c:v>
                </c:pt>
                <c:pt idx="354">
                  <c:v>46193</c:v>
                </c:pt>
                <c:pt idx="355">
                  <c:v>46194</c:v>
                </c:pt>
                <c:pt idx="356">
                  <c:v>46195</c:v>
                </c:pt>
                <c:pt idx="357">
                  <c:v>46196</c:v>
                </c:pt>
                <c:pt idx="358">
                  <c:v>46197</c:v>
                </c:pt>
                <c:pt idx="359">
                  <c:v>46198</c:v>
                </c:pt>
                <c:pt idx="360">
                  <c:v>46199</c:v>
                </c:pt>
                <c:pt idx="361">
                  <c:v>46200</c:v>
                </c:pt>
                <c:pt idx="362">
                  <c:v>46201</c:v>
                </c:pt>
                <c:pt idx="363">
                  <c:v>46202</c:v>
                </c:pt>
                <c:pt idx="364">
                  <c:v>46203</c:v>
                </c:pt>
                <c:pt idx="365">
                  <c:v>46204</c:v>
                </c:pt>
              </c:numCache>
            </c:numRef>
          </c:cat>
          <c:val>
            <c:numRef>
              <c:f>DATOS!$B$2:$B$394</c:f>
              <c:numCache>
                <c:formatCode>General</c:formatCode>
                <c:ptCount val="393"/>
                <c:pt idx="0">
                  <c:v>9</c:v>
                </c:pt>
                <c:pt idx="1">
                  <c:v>10.5</c:v>
                </c:pt>
                <c:pt idx="2">
                  <c:v>13.1</c:v>
                </c:pt>
                <c:pt idx="3">
                  <c:v>14.1</c:v>
                </c:pt>
                <c:pt idx="4">
                  <c:v>14.7</c:v>
                </c:pt>
                <c:pt idx="5">
                  <c:v>19.600000000000001</c:v>
                </c:pt>
                <c:pt idx="6">
                  <c:v>18.5</c:v>
                </c:pt>
                <c:pt idx="7">
                  <c:v>20.399999999999999</c:v>
                </c:pt>
                <c:pt idx="8">
                  <c:v>22</c:v>
                </c:pt>
                <c:pt idx="9">
                  <c:v>13</c:v>
                </c:pt>
                <c:pt idx="10">
                  <c:v>16.100000000000001</c:v>
                </c:pt>
                <c:pt idx="11">
                  <c:v>17.7</c:v>
                </c:pt>
                <c:pt idx="12">
                  <c:v>17.899999999999999</c:v>
                </c:pt>
                <c:pt idx="13">
                  <c:v>21.4</c:v>
                </c:pt>
                <c:pt idx="14">
                  <c:v>22.4</c:v>
                </c:pt>
                <c:pt idx="15">
                  <c:v>14.2</c:v>
                </c:pt>
                <c:pt idx="16">
                  <c:v>16.399999999999999</c:v>
                </c:pt>
                <c:pt idx="17">
                  <c:v>18.600000000000001</c:v>
                </c:pt>
                <c:pt idx="18">
                  <c:v>18.899999999999999</c:v>
                </c:pt>
                <c:pt idx="19">
                  <c:v>18.3</c:v>
                </c:pt>
                <c:pt idx="20">
                  <c:v>17.3</c:v>
                </c:pt>
                <c:pt idx="21">
                  <c:v>14.4</c:v>
                </c:pt>
                <c:pt idx="22">
                  <c:v>13</c:v>
                </c:pt>
                <c:pt idx="23">
                  <c:v>13.7</c:v>
                </c:pt>
                <c:pt idx="24">
                  <c:v>14.4</c:v>
                </c:pt>
                <c:pt idx="25">
                  <c:v>11</c:v>
                </c:pt>
                <c:pt idx="26">
                  <c:v>8.3000000000000007</c:v>
                </c:pt>
                <c:pt idx="27">
                  <c:v>11.7</c:v>
                </c:pt>
                <c:pt idx="28">
                  <c:v>14.9</c:v>
                </c:pt>
                <c:pt idx="29">
                  <c:v>18</c:v>
                </c:pt>
                <c:pt idx="30">
                  <c:v>20.3</c:v>
                </c:pt>
                <c:pt idx="31">
                  <c:v>20.399999999999999</c:v>
                </c:pt>
                <c:pt idx="32">
                  <c:v>18.899999999999999</c:v>
                </c:pt>
                <c:pt idx="33">
                  <c:v>16.899999999999999</c:v>
                </c:pt>
                <c:pt idx="34">
                  <c:v>15</c:v>
                </c:pt>
                <c:pt idx="35">
                  <c:v>16.8</c:v>
                </c:pt>
                <c:pt idx="36">
                  <c:v>18</c:v>
                </c:pt>
                <c:pt idx="37">
                  <c:v>14.4</c:v>
                </c:pt>
                <c:pt idx="38">
                  <c:v>14.3</c:v>
                </c:pt>
                <c:pt idx="39">
                  <c:v>16.899999999999999</c:v>
                </c:pt>
                <c:pt idx="40">
                  <c:v>18.100000000000001</c:v>
                </c:pt>
                <c:pt idx="41">
                  <c:v>21.3</c:v>
                </c:pt>
                <c:pt idx="42">
                  <c:v>21.1</c:v>
                </c:pt>
                <c:pt idx="43">
                  <c:v>16.2</c:v>
                </c:pt>
                <c:pt idx="44">
                  <c:v>14.3</c:v>
                </c:pt>
                <c:pt idx="45">
                  <c:v>14.9</c:v>
                </c:pt>
                <c:pt idx="46">
                  <c:v>15</c:v>
                </c:pt>
                <c:pt idx="47">
                  <c:v>15.7</c:v>
                </c:pt>
                <c:pt idx="48">
                  <c:v>15.4</c:v>
                </c:pt>
                <c:pt idx="49">
                  <c:v>12.3</c:v>
                </c:pt>
                <c:pt idx="50">
                  <c:v>19.7</c:v>
                </c:pt>
                <c:pt idx="51">
                  <c:v>21.5</c:v>
                </c:pt>
                <c:pt idx="52">
                  <c:v>16.2</c:v>
                </c:pt>
                <c:pt idx="53">
                  <c:v>13.9</c:v>
                </c:pt>
                <c:pt idx="54">
                  <c:v>19.5</c:v>
                </c:pt>
                <c:pt idx="55">
                  <c:v>20.9</c:v>
                </c:pt>
                <c:pt idx="56">
                  <c:v>22.7</c:v>
                </c:pt>
                <c:pt idx="57">
                  <c:v>23.4</c:v>
                </c:pt>
                <c:pt idx="58">
                  <c:v>22.9</c:v>
                </c:pt>
                <c:pt idx="59">
                  <c:v>25</c:v>
                </c:pt>
                <c:pt idx="60">
                  <c:v>17.3</c:v>
                </c:pt>
                <c:pt idx="61">
                  <c:v>14.2</c:v>
                </c:pt>
                <c:pt idx="62">
                  <c:v>19.3</c:v>
                </c:pt>
                <c:pt idx="63">
                  <c:v>19.100000000000001</c:v>
                </c:pt>
                <c:pt idx="64">
                  <c:v>17</c:v>
                </c:pt>
                <c:pt idx="65">
                  <c:v>12.6</c:v>
                </c:pt>
                <c:pt idx="66">
                  <c:v>13.6</c:v>
                </c:pt>
                <c:pt idx="67">
                  <c:v>16</c:v>
                </c:pt>
                <c:pt idx="68">
                  <c:v>17.3</c:v>
                </c:pt>
                <c:pt idx="69">
                  <c:v>19.2</c:v>
                </c:pt>
                <c:pt idx="70">
                  <c:v>22</c:v>
                </c:pt>
                <c:pt idx="71">
                  <c:v>23.1</c:v>
                </c:pt>
                <c:pt idx="72">
                  <c:v>22.5</c:v>
                </c:pt>
                <c:pt idx="73">
                  <c:v>22.6</c:v>
                </c:pt>
                <c:pt idx="74">
                  <c:v>23.4</c:v>
                </c:pt>
                <c:pt idx="75">
                  <c:v>22.3</c:v>
                </c:pt>
                <c:pt idx="76">
                  <c:v>23.5</c:v>
                </c:pt>
                <c:pt idx="77">
                  <c:v>26</c:v>
                </c:pt>
                <c:pt idx="78">
                  <c:v>25.3</c:v>
                </c:pt>
                <c:pt idx="79">
                  <c:v>26.5</c:v>
                </c:pt>
                <c:pt idx="80">
                  <c:v>26.2</c:v>
                </c:pt>
                <c:pt idx="81">
                  <c:v>23.9</c:v>
                </c:pt>
                <c:pt idx="82">
                  <c:v>19.600000000000001</c:v>
                </c:pt>
                <c:pt idx="83">
                  <c:v>19.5</c:v>
                </c:pt>
                <c:pt idx="84">
                  <c:v>22.5</c:v>
                </c:pt>
                <c:pt idx="85">
                  <c:v>22.8</c:v>
                </c:pt>
                <c:pt idx="86">
                  <c:v>23.2</c:v>
                </c:pt>
                <c:pt idx="87">
                  <c:v>23.3</c:v>
                </c:pt>
                <c:pt idx="88">
                  <c:v>20.100000000000001</c:v>
                </c:pt>
                <c:pt idx="89">
                  <c:v>23.6</c:v>
                </c:pt>
                <c:pt idx="90">
                  <c:v>24.1</c:v>
                </c:pt>
                <c:pt idx="91">
                  <c:v>21.9</c:v>
                </c:pt>
                <c:pt idx="92">
                  <c:v>23.6</c:v>
                </c:pt>
                <c:pt idx="93">
                  <c:v>26.1</c:v>
                </c:pt>
                <c:pt idx="94">
                  <c:v>28.8</c:v>
                </c:pt>
                <c:pt idx="95">
                  <c:v>32.1</c:v>
                </c:pt>
                <c:pt idx="96">
                  <c:v>21.3</c:v>
                </c:pt>
                <c:pt idx="97">
                  <c:v>19.100000000000001</c:v>
                </c:pt>
                <c:pt idx="98">
                  <c:v>24.7</c:v>
                </c:pt>
                <c:pt idx="99">
                  <c:v>26.1</c:v>
                </c:pt>
                <c:pt idx="100">
                  <c:v>29</c:v>
                </c:pt>
                <c:pt idx="101">
                  <c:v>30.9</c:v>
                </c:pt>
                <c:pt idx="102">
                  <c:v>27.1</c:v>
                </c:pt>
                <c:pt idx="103">
                  <c:v>23.6</c:v>
                </c:pt>
                <c:pt idx="104">
                  <c:v>28.1</c:v>
                </c:pt>
                <c:pt idx="105">
                  <c:v>30.4</c:v>
                </c:pt>
                <c:pt idx="106">
                  <c:v>30.1</c:v>
                </c:pt>
                <c:pt idx="107">
                  <c:v>27.8</c:v>
                </c:pt>
                <c:pt idx="108">
                  <c:v>18.5</c:v>
                </c:pt>
                <c:pt idx="109">
                  <c:v>23.2</c:v>
                </c:pt>
                <c:pt idx="110">
                  <c:v>24.8</c:v>
                </c:pt>
                <c:pt idx="111">
                  <c:v>25.8</c:v>
                </c:pt>
                <c:pt idx="112">
                  <c:v>30.3</c:v>
                </c:pt>
                <c:pt idx="113">
                  <c:v>27.9</c:v>
                </c:pt>
                <c:pt idx="114">
                  <c:v>31.5</c:v>
                </c:pt>
                <c:pt idx="115">
                  <c:v>25.5</c:v>
                </c:pt>
                <c:pt idx="116">
                  <c:v>20.8</c:v>
                </c:pt>
                <c:pt idx="117">
                  <c:v>25.2</c:v>
                </c:pt>
                <c:pt idx="118">
                  <c:v>14.7</c:v>
                </c:pt>
                <c:pt idx="119">
                  <c:v>13.4</c:v>
                </c:pt>
                <c:pt idx="120">
                  <c:v>17.5</c:v>
                </c:pt>
                <c:pt idx="121">
                  <c:v>22.2</c:v>
                </c:pt>
                <c:pt idx="122">
                  <c:v>26.5</c:v>
                </c:pt>
                <c:pt idx="123">
                  <c:v>23.3</c:v>
                </c:pt>
                <c:pt idx="124">
                  <c:v>26.8</c:v>
                </c:pt>
                <c:pt idx="125">
                  <c:v>29.8</c:v>
                </c:pt>
                <c:pt idx="126">
                  <c:v>24.2</c:v>
                </c:pt>
                <c:pt idx="127">
                  <c:v>23.5</c:v>
                </c:pt>
                <c:pt idx="128">
                  <c:v>22.4</c:v>
                </c:pt>
                <c:pt idx="129">
                  <c:v>16.3</c:v>
                </c:pt>
                <c:pt idx="130">
                  <c:v>21</c:v>
                </c:pt>
                <c:pt idx="131">
                  <c:v>23.5</c:v>
                </c:pt>
                <c:pt idx="132">
                  <c:v>25.9</c:v>
                </c:pt>
                <c:pt idx="133">
                  <c:v>28.8</c:v>
                </c:pt>
                <c:pt idx="134">
                  <c:v>24.4</c:v>
                </c:pt>
                <c:pt idx="135">
                  <c:v>28.1</c:v>
                </c:pt>
                <c:pt idx="136">
                  <c:v>30.8</c:v>
                </c:pt>
                <c:pt idx="137">
                  <c:v>31.3</c:v>
                </c:pt>
                <c:pt idx="138">
                  <c:v>24.4</c:v>
                </c:pt>
                <c:pt idx="139">
                  <c:v>27</c:v>
                </c:pt>
                <c:pt idx="140">
                  <c:v>30.3</c:v>
                </c:pt>
                <c:pt idx="141">
                  <c:v>29.2</c:v>
                </c:pt>
                <c:pt idx="142">
                  <c:v>32.6</c:v>
                </c:pt>
                <c:pt idx="143">
                  <c:v>24.5</c:v>
                </c:pt>
                <c:pt idx="144">
                  <c:v>23.9</c:v>
                </c:pt>
                <c:pt idx="145">
                  <c:v>27.8</c:v>
                </c:pt>
                <c:pt idx="146">
                  <c:v>30.8</c:v>
                </c:pt>
                <c:pt idx="147">
                  <c:v>33.9</c:v>
                </c:pt>
                <c:pt idx="148">
                  <c:v>34</c:v>
                </c:pt>
                <c:pt idx="149">
                  <c:v>32.4</c:v>
                </c:pt>
                <c:pt idx="150">
                  <c:v>30.1</c:v>
                </c:pt>
                <c:pt idx="151">
                  <c:v>27.6</c:v>
                </c:pt>
                <c:pt idx="152">
                  <c:v>22.9</c:v>
                </c:pt>
                <c:pt idx="153">
                  <c:v>25.2</c:v>
                </c:pt>
                <c:pt idx="154">
                  <c:v>27.8</c:v>
                </c:pt>
                <c:pt idx="155">
                  <c:v>31.6</c:v>
                </c:pt>
                <c:pt idx="156">
                  <c:v>34.6</c:v>
                </c:pt>
                <c:pt idx="157">
                  <c:v>34.700000000000003</c:v>
                </c:pt>
                <c:pt idx="158">
                  <c:v>30</c:v>
                </c:pt>
                <c:pt idx="159">
                  <c:v>25</c:v>
                </c:pt>
                <c:pt idx="160">
                  <c:v>25.7</c:v>
                </c:pt>
                <c:pt idx="161">
                  <c:v>29.4</c:v>
                </c:pt>
                <c:pt idx="162">
                  <c:v>33.5</c:v>
                </c:pt>
                <c:pt idx="163">
                  <c:v>26.9</c:v>
                </c:pt>
                <c:pt idx="164">
                  <c:v>34.1</c:v>
                </c:pt>
                <c:pt idx="165">
                  <c:v>35.700000000000003</c:v>
                </c:pt>
                <c:pt idx="166">
                  <c:v>22.6</c:v>
                </c:pt>
                <c:pt idx="167">
                  <c:v>26.4</c:v>
                </c:pt>
                <c:pt idx="168">
                  <c:v>29.1</c:v>
                </c:pt>
                <c:pt idx="169">
                  <c:v>33.6</c:v>
                </c:pt>
                <c:pt idx="170">
                  <c:v>34.299999999999997</c:v>
                </c:pt>
                <c:pt idx="171">
                  <c:v>35.200000000000003</c:v>
                </c:pt>
                <c:pt idx="172">
                  <c:v>29.4</c:v>
                </c:pt>
                <c:pt idx="173">
                  <c:v>28.9</c:v>
                </c:pt>
                <c:pt idx="174">
                  <c:v>30</c:v>
                </c:pt>
                <c:pt idx="175">
                  <c:v>32.6</c:v>
                </c:pt>
                <c:pt idx="176">
                  <c:v>32.200000000000003</c:v>
                </c:pt>
                <c:pt idx="177">
                  <c:v>31.2</c:v>
                </c:pt>
                <c:pt idx="178">
                  <c:v>33.5</c:v>
                </c:pt>
                <c:pt idx="179">
                  <c:v>32.299999999999997</c:v>
                </c:pt>
                <c:pt idx="180">
                  <c:v>33.799999999999997</c:v>
                </c:pt>
                <c:pt idx="181">
                  <c:v>34.5</c:v>
                </c:pt>
                <c:pt idx="182">
                  <c:v>37</c:v>
                </c:pt>
                <c:pt idx="183">
                  <c:v>37.5</c:v>
                </c:pt>
                <c:pt idx="184">
                  <c:v>36.6</c:v>
                </c:pt>
                <c:pt idx="185">
                  <c:v>30.3</c:v>
                </c:pt>
                <c:pt idx="186">
                  <c:v>26.5</c:v>
                </c:pt>
                <c:pt idx="187">
                  <c:v>29.5</c:v>
                </c:pt>
                <c:pt idx="188">
                  <c:v>32.799999999999997</c:v>
                </c:pt>
                <c:pt idx="189">
                  <c:v>32</c:v>
                </c:pt>
                <c:pt idx="190">
                  <c:v>30</c:v>
                </c:pt>
                <c:pt idx="191">
                  <c:v>22.1</c:v>
                </c:pt>
                <c:pt idx="192">
                  <c:v>25.3</c:v>
                </c:pt>
                <c:pt idx="193">
                  <c:v>30.3</c:v>
                </c:pt>
                <c:pt idx="194">
                  <c:v>35.799999999999997</c:v>
                </c:pt>
                <c:pt idx="195">
                  <c:v>36.9</c:v>
                </c:pt>
                <c:pt idx="196">
                  <c:v>30.2</c:v>
                </c:pt>
                <c:pt idx="197">
                  <c:v>35.1</c:v>
                </c:pt>
                <c:pt idx="198">
                  <c:v>31.4</c:v>
                </c:pt>
                <c:pt idx="199">
                  <c:v>32.5</c:v>
                </c:pt>
                <c:pt idx="200">
                  <c:v>35.700000000000003</c:v>
                </c:pt>
                <c:pt idx="201">
                  <c:v>27.8</c:v>
                </c:pt>
                <c:pt idx="202">
                  <c:v>26.9</c:v>
                </c:pt>
                <c:pt idx="203">
                  <c:v>30.4</c:v>
                </c:pt>
                <c:pt idx="204">
                  <c:v>33.5</c:v>
                </c:pt>
                <c:pt idx="205">
                  <c:v>34.799999999999997</c:v>
                </c:pt>
                <c:pt idx="206">
                  <c:v>36.1</c:v>
                </c:pt>
                <c:pt idx="207">
                  <c:v>34.4</c:v>
                </c:pt>
                <c:pt idx="208">
                  <c:v>35.1</c:v>
                </c:pt>
                <c:pt idx="209">
                  <c:v>27</c:v>
                </c:pt>
                <c:pt idx="210">
                  <c:v>29.4</c:v>
                </c:pt>
                <c:pt idx="211">
                  <c:v>32.9</c:v>
                </c:pt>
                <c:pt idx="212">
                  <c:v>33.5</c:v>
                </c:pt>
                <c:pt idx="213">
                  <c:v>33.4</c:v>
                </c:pt>
                <c:pt idx="214">
                  <c:v>31.1</c:v>
                </c:pt>
                <c:pt idx="215">
                  <c:v>32.200000000000003</c:v>
                </c:pt>
                <c:pt idx="216">
                  <c:v>32.6</c:v>
                </c:pt>
                <c:pt idx="217">
                  <c:v>31.7</c:v>
                </c:pt>
                <c:pt idx="218">
                  <c:v>26.3</c:v>
                </c:pt>
                <c:pt idx="219">
                  <c:v>24.8</c:v>
                </c:pt>
                <c:pt idx="220">
                  <c:v>26.8</c:v>
                </c:pt>
                <c:pt idx="221">
                  <c:v>30.7</c:v>
                </c:pt>
                <c:pt idx="222">
                  <c:v>32.200000000000003</c:v>
                </c:pt>
                <c:pt idx="223">
                  <c:v>28.4</c:v>
                </c:pt>
                <c:pt idx="224">
                  <c:v>30.9</c:v>
                </c:pt>
                <c:pt idx="225">
                  <c:v>25.3</c:v>
                </c:pt>
                <c:pt idx="226">
                  <c:v>27.8</c:v>
                </c:pt>
                <c:pt idx="227">
                  <c:v>27</c:v>
                </c:pt>
                <c:pt idx="228">
                  <c:v>31.6</c:v>
                </c:pt>
                <c:pt idx="229">
                  <c:v>25.1</c:v>
                </c:pt>
                <c:pt idx="230">
                  <c:v>27</c:v>
                </c:pt>
                <c:pt idx="231">
                  <c:v>30.4</c:v>
                </c:pt>
                <c:pt idx="232">
                  <c:v>31.8</c:v>
                </c:pt>
                <c:pt idx="233">
                  <c:v>26.3</c:v>
                </c:pt>
                <c:pt idx="234">
                  <c:v>28</c:v>
                </c:pt>
                <c:pt idx="235">
                  <c:v>25.9</c:v>
                </c:pt>
                <c:pt idx="236">
                  <c:v>27.9</c:v>
                </c:pt>
                <c:pt idx="237">
                  <c:v>28</c:v>
                </c:pt>
                <c:pt idx="238">
                  <c:v>28.6</c:v>
                </c:pt>
                <c:pt idx="239">
                  <c:v>23.1</c:v>
                </c:pt>
                <c:pt idx="240">
                  <c:v>23.8</c:v>
                </c:pt>
                <c:pt idx="241">
                  <c:v>26.9</c:v>
                </c:pt>
                <c:pt idx="242">
                  <c:v>27.8</c:v>
                </c:pt>
                <c:pt idx="243">
                  <c:v>29.7</c:v>
                </c:pt>
                <c:pt idx="244">
                  <c:v>30.4</c:v>
                </c:pt>
                <c:pt idx="245">
                  <c:v>24.7</c:v>
                </c:pt>
                <c:pt idx="246">
                  <c:v>27.6</c:v>
                </c:pt>
                <c:pt idx="247">
                  <c:v>23.2</c:v>
                </c:pt>
                <c:pt idx="248">
                  <c:v>23.5</c:v>
                </c:pt>
                <c:pt idx="249">
                  <c:v>25.4</c:v>
                </c:pt>
                <c:pt idx="250">
                  <c:v>22.8</c:v>
                </c:pt>
                <c:pt idx="251">
                  <c:v>24</c:v>
                </c:pt>
                <c:pt idx="252">
                  <c:v>25.9</c:v>
                </c:pt>
                <c:pt idx="253">
                  <c:v>26.3</c:v>
                </c:pt>
                <c:pt idx="254">
                  <c:v>26.5</c:v>
                </c:pt>
                <c:pt idx="255">
                  <c:v>27.8</c:v>
                </c:pt>
                <c:pt idx="256">
                  <c:v>26.2</c:v>
                </c:pt>
                <c:pt idx="257">
                  <c:v>28.7</c:v>
                </c:pt>
                <c:pt idx="258">
                  <c:v>27.6</c:v>
                </c:pt>
                <c:pt idx="259">
                  <c:v>24.4</c:v>
                </c:pt>
                <c:pt idx="260">
                  <c:v>25.1</c:v>
                </c:pt>
                <c:pt idx="261">
                  <c:v>27.3</c:v>
                </c:pt>
                <c:pt idx="262">
                  <c:v>25.2</c:v>
                </c:pt>
                <c:pt idx="263">
                  <c:v>21</c:v>
                </c:pt>
                <c:pt idx="264">
                  <c:v>22.8</c:v>
                </c:pt>
                <c:pt idx="265">
                  <c:v>20.6</c:v>
                </c:pt>
                <c:pt idx="266">
                  <c:v>24.9</c:v>
                </c:pt>
                <c:pt idx="267">
                  <c:v>23.6</c:v>
                </c:pt>
                <c:pt idx="268">
                  <c:v>24.4</c:v>
                </c:pt>
                <c:pt idx="269">
                  <c:v>26.1</c:v>
                </c:pt>
                <c:pt idx="270">
                  <c:v>29.1</c:v>
                </c:pt>
                <c:pt idx="271">
                  <c:v>31.9</c:v>
                </c:pt>
                <c:pt idx="272">
                  <c:v>31.5</c:v>
                </c:pt>
                <c:pt idx="273">
                  <c:v>32.9</c:v>
                </c:pt>
                <c:pt idx="274">
                  <c:v>27.6</c:v>
                </c:pt>
                <c:pt idx="275">
                  <c:v>26.1</c:v>
                </c:pt>
                <c:pt idx="276">
                  <c:v>27.6</c:v>
                </c:pt>
                <c:pt idx="277">
                  <c:v>21.3</c:v>
                </c:pt>
                <c:pt idx="278">
                  <c:v>17.100000000000001</c:v>
                </c:pt>
                <c:pt idx="279">
                  <c:v>15.1</c:v>
                </c:pt>
                <c:pt idx="280">
                  <c:v>18.399999999999999</c:v>
                </c:pt>
                <c:pt idx="281">
                  <c:v>19.2</c:v>
                </c:pt>
                <c:pt idx="282">
                  <c:v>21.6</c:v>
                </c:pt>
                <c:pt idx="283">
                  <c:v>23.7</c:v>
                </c:pt>
                <c:pt idx="284">
                  <c:v>22.5</c:v>
                </c:pt>
                <c:pt idx="285">
                  <c:v>25.4</c:v>
                </c:pt>
                <c:pt idx="286">
                  <c:v>24.6</c:v>
                </c:pt>
                <c:pt idx="287">
                  <c:v>22</c:v>
                </c:pt>
                <c:pt idx="288">
                  <c:v>23.8</c:v>
                </c:pt>
                <c:pt idx="289">
                  <c:v>25.9</c:v>
                </c:pt>
                <c:pt idx="290">
                  <c:v>26.3</c:v>
                </c:pt>
                <c:pt idx="291">
                  <c:v>26.5</c:v>
                </c:pt>
                <c:pt idx="292">
                  <c:v>21</c:v>
                </c:pt>
                <c:pt idx="293">
                  <c:v>16.100000000000001</c:v>
                </c:pt>
                <c:pt idx="294">
                  <c:v>18.100000000000001</c:v>
                </c:pt>
                <c:pt idx="295">
                  <c:v>19.399999999999999</c:v>
                </c:pt>
                <c:pt idx="296">
                  <c:v>22.1</c:v>
                </c:pt>
                <c:pt idx="297">
                  <c:v>24.4</c:v>
                </c:pt>
                <c:pt idx="298">
                  <c:v>20.100000000000001</c:v>
                </c:pt>
                <c:pt idx="299">
                  <c:v>17.100000000000001</c:v>
                </c:pt>
                <c:pt idx="300">
                  <c:v>15.2</c:v>
                </c:pt>
                <c:pt idx="301">
                  <c:v>22.4</c:v>
                </c:pt>
                <c:pt idx="302">
                  <c:v>24.1</c:v>
                </c:pt>
                <c:pt idx="303">
                  <c:v>24</c:v>
                </c:pt>
                <c:pt idx="304">
                  <c:v>24.8</c:v>
                </c:pt>
                <c:pt idx="305">
                  <c:v>16.899999999999999</c:v>
                </c:pt>
                <c:pt idx="306">
                  <c:v>18.600000000000001</c:v>
                </c:pt>
                <c:pt idx="307">
                  <c:v>22</c:v>
                </c:pt>
                <c:pt idx="308">
                  <c:v>25.4</c:v>
                </c:pt>
                <c:pt idx="309">
                  <c:v>29.1</c:v>
                </c:pt>
                <c:pt idx="310">
                  <c:v>19.5</c:v>
                </c:pt>
                <c:pt idx="311">
                  <c:v>15.1</c:v>
                </c:pt>
                <c:pt idx="312">
                  <c:v>11.6</c:v>
                </c:pt>
                <c:pt idx="313">
                  <c:v>18.899999999999999</c:v>
                </c:pt>
                <c:pt idx="314">
                  <c:v>21.6</c:v>
                </c:pt>
                <c:pt idx="315">
                  <c:v>24</c:v>
                </c:pt>
                <c:pt idx="316">
                  <c:v>17.899999999999999</c:v>
                </c:pt>
                <c:pt idx="317">
                  <c:v>18.600000000000001</c:v>
                </c:pt>
                <c:pt idx="318">
                  <c:v>19</c:v>
                </c:pt>
                <c:pt idx="319">
                  <c:v>13.5</c:v>
                </c:pt>
                <c:pt idx="320">
                  <c:v>12.7</c:v>
                </c:pt>
                <c:pt idx="321">
                  <c:v>15.9</c:v>
                </c:pt>
                <c:pt idx="322">
                  <c:v>18.100000000000001</c:v>
                </c:pt>
                <c:pt idx="323">
                  <c:v>17.7</c:v>
                </c:pt>
                <c:pt idx="324">
                  <c:v>14.6</c:v>
                </c:pt>
                <c:pt idx="325">
                  <c:v>14</c:v>
                </c:pt>
                <c:pt idx="326">
                  <c:v>14.8</c:v>
                </c:pt>
                <c:pt idx="327">
                  <c:v>16.100000000000001</c:v>
                </c:pt>
                <c:pt idx="328">
                  <c:v>18.399999999999999</c:v>
                </c:pt>
                <c:pt idx="329">
                  <c:v>19.100000000000001</c:v>
                </c:pt>
                <c:pt idx="330">
                  <c:v>18.7</c:v>
                </c:pt>
                <c:pt idx="331">
                  <c:v>16.100000000000001</c:v>
                </c:pt>
                <c:pt idx="332">
                  <c:v>18.100000000000001</c:v>
                </c:pt>
                <c:pt idx="333">
                  <c:v>18.899999999999999</c:v>
                </c:pt>
                <c:pt idx="334">
                  <c:v>20.8</c:v>
                </c:pt>
                <c:pt idx="335">
                  <c:v>18.7</c:v>
                </c:pt>
                <c:pt idx="336">
                  <c:v>17.7</c:v>
                </c:pt>
                <c:pt idx="337">
                  <c:v>17.7</c:v>
                </c:pt>
                <c:pt idx="338">
                  <c:v>21.5</c:v>
                </c:pt>
                <c:pt idx="339">
                  <c:v>20.6</c:v>
                </c:pt>
                <c:pt idx="340">
                  <c:v>19.8</c:v>
                </c:pt>
                <c:pt idx="341">
                  <c:v>17.3</c:v>
                </c:pt>
                <c:pt idx="342">
                  <c:v>15.1</c:v>
                </c:pt>
                <c:pt idx="343">
                  <c:v>14</c:v>
                </c:pt>
                <c:pt idx="344">
                  <c:v>15.5</c:v>
                </c:pt>
                <c:pt idx="345">
                  <c:v>17.399999999999999</c:v>
                </c:pt>
                <c:pt idx="346">
                  <c:v>17.899999999999999</c:v>
                </c:pt>
                <c:pt idx="347">
                  <c:v>12.1</c:v>
                </c:pt>
                <c:pt idx="348">
                  <c:v>11.2</c:v>
                </c:pt>
                <c:pt idx="349">
                  <c:v>17.100000000000001</c:v>
                </c:pt>
                <c:pt idx="350">
                  <c:v>19.5</c:v>
                </c:pt>
                <c:pt idx="351">
                  <c:v>17.100000000000001</c:v>
                </c:pt>
                <c:pt idx="352">
                  <c:v>15.6</c:v>
                </c:pt>
                <c:pt idx="353">
                  <c:v>16.5</c:v>
                </c:pt>
                <c:pt idx="354">
                  <c:v>15.9</c:v>
                </c:pt>
                <c:pt idx="355">
                  <c:v>15.6</c:v>
                </c:pt>
                <c:pt idx="356">
                  <c:v>12.8</c:v>
                </c:pt>
                <c:pt idx="357">
                  <c:v>14.9</c:v>
                </c:pt>
                <c:pt idx="358">
                  <c:v>11.3</c:v>
                </c:pt>
                <c:pt idx="359">
                  <c:v>14.6</c:v>
                </c:pt>
                <c:pt idx="360">
                  <c:v>17.2</c:v>
                </c:pt>
                <c:pt idx="361">
                  <c:v>17.5</c:v>
                </c:pt>
                <c:pt idx="362">
                  <c:v>14.6</c:v>
                </c:pt>
                <c:pt idx="363">
                  <c:v>14.7</c:v>
                </c:pt>
                <c:pt idx="364">
                  <c:v>15.7</c:v>
                </c:pt>
                <c:pt idx="365">
                  <c:v>9.9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96D-48FE-8555-A72D76479F9F}"/>
            </c:ext>
          </c:extLst>
        </c:ser>
        <c:ser>
          <c:idx val="1"/>
          <c:order val="1"/>
          <c:tx>
            <c:strRef>
              <c:f>DATOS!$C$1</c:f>
              <c:strCache>
                <c:ptCount val="1"/>
                <c:pt idx="0">
                  <c:v>Temp MIN</c:v>
                </c:pt>
              </c:strCache>
            </c:strRef>
          </c:tx>
          <c:spPr>
            <a:ln w="9525" cap="rnd">
              <a:solidFill>
                <a:schemeClr val="accent1">
                  <a:alpha val="89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DATOS!$A$2:$A$394</c:f>
              <c:numCache>
                <c:formatCode>dd/mm/yyyy</c:formatCode>
                <c:ptCount val="393"/>
                <c:pt idx="0">
                  <c:v>45839</c:v>
                </c:pt>
                <c:pt idx="1">
                  <c:v>45840</c:v>
                </c:pt>
                <c:pt idx="2">
                  <c:v>45841</c:v>
                </c:pt>
                <c:pt idx="3">
                  <c:v>45842</c:v>
                </c:pt>
                <c:pt idx="4">
                  <c:v>45843</c:v>
                </c:pt>
                <c:pt idx="5">
                  <c:v>45844</c:v>
                </c:pt>
                <c:pt idx="6">
                  <c:v>45845</c:v>
                </c:pt>
                <c:pt idx="7">
                  <c:v>45846</c:v>
                </c:pt>
                <c:pt idx="8">
                  <c:v>45847</c:v>
                </c:pt>
                <c:pt idx="9">
                  <c:v>45848</c:v>
                </c:pt>
                <c:pt idx="10">
                  <c:v>45849</c:v>
                </c:pt>
                <c:pt idx="11">
                  <c:v>45850</c:v>
                </c:pt>
                <c:pt idx="12">
                  <c:v>45851</c:v>
                </c:pt>
                <c:pt idx="13">
                  <c:v>45852</c:v>
                </c:pt>
                <c:pt idx="14">
                  <c:v>45853</c:v>
                </c:pt>
                <c:pt idx="15">
                  <c:v>45854</c:v>
                </c:pt>
                <c:pt idx="16">
                  <c:v>45855</c:v>
                </c:pt>
                <c:pt idx="17">
                  <c:v>45856</c:v>
                </c:pt>
                <c:pt idx="18">
                  <c:v>45857</c:v>
                </c:pt>
                <c:pt idx="19">
                  <c:v>45858</c:v>
                </c:pt>
                <c:pt idx="20">
                  <c:v>45859</c:v>
                </c:pt>
                <c:pt idx="21">
                  <c:v>45860</c:v>
                </c:pt>
                <c:pt idx="22">
                  <c:v>45861</c:v>
                </c:pt>
                <c:pt idx="23">
                  <c:v>45862</c:v>
                </c:pt>
                <c:pt idx="24">
                  <c:v>45863</c:v>
                </c:pt>
                <c:pt idx="25">
                  <c:v>45864</c:v>
                </c:pt>
                <c:pt idx="26">
                  <c:v>45865</c:v>
                </c:pt>
                <c:pt idx="27">
                  <c:v>45866</c:v>
                </c:pt>
                <c:pt idx="28">
                  <c:v>45867</c:v>
                </c:pt>
                <c:pt idx="29">
                  <c:v>45868</c:v>
                </c:pt>
                <c:pt idx="30">
                  <c:v>45869</c:v>
                </c:pt>
                <c:pt idx="31">
                  <c:v>45870</c:v>
                </c:pt>
                <c:pt idx="32">
                  <c:v>45871</c:v>
                </c:pt>
                <c:pt idx="33">
                  <c:v>45872</c:v>
                </c:pt>
                <c:pt idx="34">
                  <c:v>45873</c:v>
                </c:pt>
                <c:pt idx="35">
                  <c:v>45874</c:v>
                </c:pt>
                <c:pt idx="36">
                  <c:v>45875</c:v>
                </c:pt>
                <c:pt idx="37">
                  <c:v>45876</c:v>
                </c:pt>
                <c:pt idx="38">
                  <c:v>45877</c:v>
                </c:pt>
                <c:pt idx="39">
                  <c:v>45878</c:v>
                </c:pt>
                <c:pt idx="40">
                  <c:v>45879</c:v>
                </c:pt>
                <c:pt idx="41">
                  <c:v>45880</c:v>
                </c:pt>
                <c:pt idx="42">
                  <c:v>45881</c:v>
                </c:pt>
                <c:pt idx="43">
                  <c:v>45882</c:v>
                </c:pt>
                <c:pt idx="44">
                  <c:v>45883</c:v>
                </c:pt>
                <c:pt idx="45">
                  <c:v>45884</c:v>
                </c:pt>
                <c:pt idx="46">
                  <c:v>45885</c:v>
                </c:pt>
                <c:pt idx="47">
                  <c:v>45886</c:v>
                </c:pt>
                <c:pt idx="48">
                  <c:v>45887</c:v>
                </c:pt>
                <c:pt idx="49">
                  <c:v>45888</c:v>
                </c:pt>
                <c:pt idx="50">
                  <c:v>45889</c:v>
                </c:pt>
                <c:pt idx="51">
                  <c:v>45890</c:v>
                </c:pt>
                <c:pt idx="52">
                  <c:v>45891</c:v>
                </c:pt>
                <c:pt idx="53">
                  <c:v>45892</c:v>
                </c:pt>
                <c:pt idx="54">
                  <c:v>45893</c:v>
                </c:pt>
                <c:pt idx="55">
                  <c:v>45894</c:v>
                </c:pt>
                <c:pt idx="56">
                  <c:v>45895</c:v>
                </c:pt>
                <c:pt idx="57">
                  <c:v>45896</c:v>
                </c:pt>
                <c:pt idx="58">
                  <c:v>45897</c:v>
                </c:pt>
                <c:pt idx="59">
                  <c:v>45898</c:v>
                </c:pt>
                <c:pt idx="60">
                  <c:v>45899</c:v>
                </c:pt>
                <c:pt idx="61">
                  <c:v>45900</c:v>
                </c:pt>
                <c:pt idx="62">
                  <c:v>45901</c:v>
                </c:pt>
                <c:pt idx="63">
                  <c:v>45902</c:v>
                </c:pt>
                <c:pt idx="64">
                  <c:v>45903</c:v>
                </c:pt>
                <c:pt idx="65">
                  <c:v>45904</c:v>
                </c:pt>
                <c:pt idx="66">
                  <c:v>45905</c:v>
                </c:pt>
                <c:pt idx="67">
                  <c:v>45906</c:v>
                </c:pt>
                <c:pt idx="68">
                  <c:v>45907</c:v>
                </c:pt>
                <c:pt idx="69">
                  <c:v>45908</c:v>
                </c:pt>
                <c:pt idx="70">
                  <c:v>45909</c:v>
                </c:pt>
                <c:pt idx="71">
                  <c:v>45910</c:v>
                </c:pt>
                <c:pt idx="72">
                  <c:v>45911</c:v>
                </c:pt>
                <c:pt idx="73">
                  <c:v>45912</c:v>
                </c:pt>
                <c:pt idx="74">
                  <c:v>45913</c:v>
                </c:pt>
                <c:pt idx="75">
                  <c:v>45914</c:v>
                </c:pt>
                <c:pt idx="76">
                  <c:v>45915</c:v>
                </c:pt>
                <c:pt idx="77">
                  <c:v>45916</c:v>
                </c:pt>
                <c:pt idx="78">
                  <c:v>45917</c:v>
                </c:pt>
                <c:pt idx="79">
                  <c:v>45918</c:v>
                </c:pt>
                <c:pt idx="80">
                  <c:v>45919</c:v>
                </c:pt>
                <c:pt idx="81">
                  <c:v>45920</c:v>
                </c:pt>
                <c:pt idx="82">
                  <c:v>45921</c:v>
                </c:pt>
                <c:pt idx="83">
                  <c:v>45922</c:v>
                </c:pt>
                <c:pt idx="84">
                  <c:v>45923</c:v>
                </c:pt>
                <c:pt idx="85">
                  <c:v>45924</c:v>
                </c:pt>
                <c:pt idx="86">
                  <c:v>45925</c:v>
                </c:pt>
                <c:pt idx="87">
                  <c:v>45926</c:v>
                </c:pt>
                <c:pt idx="88">
                  <c:v>45927</c:v>
                </c:pt>
                <c:pt idx="89">
                  <c:v>45928</c:v>
                </c:pt>
                <c:pt idx="90">
                  <c:v>45929</c:v>
                </c:pt>
                <c:pt idx="91">
                  <c:v>45930</c:v>
                </c:pt>
                <c:pt idx="92">
                  <c:v>45931</c:v>
                </c:pt>
                <c:pt idx="93">
                  <c:v>45932</c:v>
                </c:pt>
                <c:pt idx="94">
                  <c:v>45933</c:v>
                </c:pt>
                <c:pt idx="95">
                  <c:v>45934</c:v>
                </c:pt>
                <c:pt idx="96">
                  <c:v>45935</c:v>
                </c:pt>
                <c:pt idx="97">
                  <c:v>45936</c:v>
                </c:pt>
                <c:pt idx="98">
                  <c:v>45937</c:v>
                </c:pt>
                <c:pt idx="99">
                  <c:v>45938</c:v>
                </c:pt>
                <c:pt idx="100">
                  <c:v>45939</c:v>
                </c:pt>
                <c:pt idx="101">
                  <c:v>45940</c:v>
                </c:pt>
                <c:pt idx="102">
                  <c:v>45941</c:v>
                </c:pt>
                <c:pt idx="103">
                  <c:v>45942</c:v>
                </c:pt>
                <c:pt idx="104">
                  <c:v>45943</c:v>
                </c:pt>
                <c:pt idx="105">
                  <c:v>45944</c:v>
                </c:pt>
                <c:pt idx="106">
                  <c:v>45945</c:v>
                </c:pt>
                <c:pt idx="107">
                  <c:v>45946</c:v>
                </c:pt>
                <c:pt idx="108">
                  <c:v>45947</c:v>
                </c:pt>
                <c:pt idx="109">
                  <c:v>45948</c:v>
                </c:pt>
                <c:pt idx="110">
                  <c:v>45949</c:v>
                </c:pt>
                <c:pt idx="111">
                  <c:v>45950</c:v>
                </c:pt>
                <c:pt idx="112">
                  <c:v>45951</c:v>
                </c:pt>
                <c:pt idx="113">
                  <c:v>45952</c:v>
                </c:pt>
                <c:pt idx="114">
                  <c:v>45953</c:v>
                </c:pt>
                <c:pt idx="115">
                  <c:v>45954</c:v>
                </c:pt>
                <c:pt idx="116">
                  <c:v>45955</c:v>
                </c:pt>
                <c:pt idx="117">
                  <c:v>45956</c:v>
                </c:pt>
                <c:pt idx="118">
                  <c:v>45957</c:v>
                </c:pt>
                <c:pt idx="119">
                  <c:v>45958</c:v>
                </c:pt>
                <c:pt idx="120">
                  <c:v>45959</c:v>
                </c:pt>
                <c:pt idx="121">
                  <c:v>45960</c:v>
                </c:pt>
                <c:pt idx="122">
                  <c:v>45961</c:v>
                </c:pt>
                <c:pt idx="123">
                  <c:v>45962</c:v>
                </c:pt>
                <c:pt idx="124">
                  <c:v>45963</c:v>
                </c:pt>
                <c:pt idx="125">
                  <c:v>45964</c:v>
                </c:pt>
                <c:pt idx="126">
                  <c:v>45965</c:v>
                </c:pt>
                <c:pt idx="127">
                  <c:v>45966</c:v>
                </c:pt>
                <c:pt idx="128">
                  <c:v>45967</c:v>
                </c:pt>
                <c:pt idx="129">
                  <c:v>45968</c:v>
                </c:pt>
                <c:pt idx="130">
                  <c:v>45969</c:v>
                </c:pt>
                <c:pt idx="131">
                  <c:v>45970</c:v>
                </c:pt>
                <c:pt idx="132">
                  <c:v>45971</c:v>
                </c:pt>
                <c:pt idx="133">
                  <c:v>45972</c:v>
                </c:pt>
                <c:pt idx="134">
                  <c:v>45973</c:v>
                </c:pt>
                <c:pt idx="135">
                  <c:v>45974</c:v>
                </c:pt>
                <c:pt idx="136">
                  <c:v>45975</c:v>
                </c:pt>
                <c:pt idx="137">
                  <c:v>45976</c:v>
                </c:pt>
                <c:pt idx="138">
                  <c:v>45977</c:v>
                </c:pt>
                <c:pt idx="139">
                  <c:v>45978</c:v>
                </c:pt>
                <c:pt idx="140">
                  <c:v>45979</c:v>
                </c:pt>
                <c:pt idx="141">
                  <c:v>45980</c:v>
                </c:pt>
                <c:pt idx="142">
                  <c:v>45981</c:v>
                </c:pt>
                <c:pt idx="143">
                  <c:v>45982</c:v>
                </c:pt>
                <c:pt idx="144">
                  <c:v>45983</c:v>
                </c:pt>
                <c:pt idx="145">
                  <c:v>45984</c:v>
                </c:pt>
                <c:pt idx="146">
                  <c:v>45985</c:v>
                </c:pt>
                <c:pt idx="147">
                  <c:v>45986</c:v>
                </c:pt>
                <c:pt idx="148">
                  <c:v>45987</c:v>
                </c:pt>
                <c:pt idx="149">
                  <c:v>45988</c:v>
                </c:pt>
                <c:pt idx="150">
                  <c:v>45989</c:v>
                </c:pt>
                <c:pt idx="151">
                  <c:v>45990</c:v>
                </c:pt>
                <c:pt idx="152">
                  <c:v>45991</c:v>
                </c:pt>
                <c:pt idx="153">
                  <c:v>45992</c:v>
                </c:pt>
                <c:pt idx="154">
                  <c:v>45993</c:v>
                </c:pt>
                <c:pt idx="155">
                  <c:v>45994</c:v>
                </c:pt>
                <c:pt idx="156">
                  <c:v>45995</c:v>
                </c:pt>
                <c:pt idx="157">
                  <c:v>45996</c:v>
                </c:pt>
                <c:pt idx="158">
                  <c:v>45997</c:v>
                </c:pt>
                <c:pt idx="159">
                  <c:v>45998</c:v>
                </c:pt>
                <c:pt idx="160">
                  <c:v>45999</c:v>
                </c:pt>
                <c:pt idx="161">
                  <c:v>46000</c:v>
                </c:pt>
                <c:pt idx="162">
                  <c:v>46001</c:v>
                </c:pt>
                <c:pt idx="163">
                  <c:v>46002</c:v>
                </c:pt>
                <c:pt idx="164">
                  <c:v>46003</c:v>
                </c:pt>
                <c:pt idx="165">
                  <c:v>46004</c:v>
                </c:pt>
                <c:pt idx="166">
                  <c:v>46005</c:v>
                </c:pt>
                <c:pt idx="167">
                  <c:v>46006</c:v>
                </c:pt>
                <c:pt idx="168">
                  <c:v>46007</c:v>
                </c:pt>
                <c:pt idx="169">
                  <c:v>46008</c:v>
                </c:pt>
                <c:pt idx="170">
                  <c:v>46009</c:v>
                </c:pt>
                <c:pt idx="171">
                  <c:v>46010</c:v>
                </c:pt>
                <c:pt idx="172">
                  <c:v>46011</c:v>
                </c:pt>
                <c:pt idx="173">
                  <c:v>46012</c:v>
                </c:pt>
                <c:pt idx="174">
                  <c:v>46013</c:v>
                </c:pt>
                <c:pt idx="175">
                  <c:v>46014</c:v>
                </c:pt>
                <c:pt idx="176">
                  <c:v>46015</c:v>
                </c:pt>
                <c:pt idx="177">
                  <c:v>46016</c:v>
                </c:pt>
                <c:pt idx="178">
                  <c:v>46017</c:v>
                </c:pt>
                <c:pt idx="179">
                  <c:v>46018</c:v>
                </c:pt>
                <c:pt idx="180">
                  <c:v>46019</c:v>
                </c:pt>
                <c:pt idx="181">
                  <c:v>46020</c:v>
                </c:pt>
                <c:pt idx="182">
                  <c:v>46021</c:v>
                </c:pt>
                <c:pt idx="183">
                  <c:v>46022</c:v>
                </c:pt>
                <c:pt idx="184">
                  <c:v>46023</c:v>
                </c:pt>
                <c:pt idx="185">
                  <c:v>46024</c:v>
                </c:pt>
                <c:pt idx="186">
                  <c:v>46025</c:v>
                </c:pt>
                <c:pt idx="187">
                  <c:v>46026</c:v>
                </c:pt>
                <c:pt idx="188">
                  <c:v>46027</c:v>
                </c:pt>
                <c:pt idx="189">
                  <c:v>46028</c:v>
                </c:pt>
                <c:pt idx="190">
                  <c:v>46029</c:v>
                </c:pt>
                <c:pt idx="191">
                  <c:v>46030</c:v>
                </c:pt>
                <c:pt idx="192">
                  <c:v>46031</c:v>
                </c:pt>
                <c:pt idx="193">
                  <c:v>46032</c:v>
                </c:pt>
                <c:pt idx="194">
                  <c:v>46033</c:v>
                </c:pt>
                <c:pt idx="195">
                  <c:v>46034</c:v>
                </c:pt>
                <c:pt idx="196">
                  <c:v>46035</c:v>
                </c:pt>
                <c:pt idx="197">
                  <c:v>46036</c:v>
                </c:pt>
                <c:pt idx="198">
                  <c:v>46037</c:v>
                </c:pt>
                <c:pt idx="199">
                  <c:v>46038</c:v>
                </c:pt>
                <c:pt idx="200">
                  <c:v>46039</c:v>
                </c:pt>
                <c:pt idx="201">
                  <c:v>46040</c:v>
                </c:pt>
                <c:pt idx="202">
                  <c:v>46041</c:v>
                </c:pt>
                <c:pt idx="203">
                  <c:v>46042</c:v>
                </c:pt>
                <c:pt idx="204">
                  <c:v>46043</c:v>
                </c:pt>
                <c:pt idx="205">
                  <c:v>46044</c:v>
                </c:pt>
                <c:pt idx="206">
                  <c:v>46045</c:v>
                </c:pt>
                <c:pt idx="207">
                  <c:v>46046</c:v>
                </c:pt>
                <c:pt idx="208">
                  <c:v>46047</c:v>
                </c:pt>
                <c:pt idx="209">
                  <c:v>46048</c:v>
                </c:pt>
                <c:pt idx="210">
                  <c:v>46049</c:v>
                </c:pt>
                <c:pt idx="211">
                  <c:v>46050</c:v>
                </c:pt>
                <c:pt idx="212">
                  <c:v>46051</c:v>
                </c:pt>
                <c:pt idx="213">
                  <c:v>46052</c:v>
                </c:pt>
                <c:pt idx="214">
                  <c:v>46053</c:v>
                </c:pt>
                <c:pt idx="215">
                  <c:v>46054</c:v>
                </c:pt>
                <c:pt idx="216">
                  <c:v>46055</c:v>
                </c:pt>
                <c:pt idx="217">
                  <c:v>46056</c:v>
                </c:pt>
                <c:pt idx="218">
                  <c:v>46057</c:v>
                </c:pt>
                <c:pt idx="219">
                  <c:v>46058</c:v>
                </c:pt>
                <c:pt idx="220">
                  <c:v>46059</c:v>
                </c:pt>
                <c:pt idx="221">
                  <c:v>46060</c:v>
                </c:pt>
                <c:pt idx="222">
                  <c:v>46061</c:v>
                </c:pt>
                <c:pt idx="223">
                  <c:v>46062</c:v>
                </c:pt>
                <c:pt idx="224">
                  <c:v>46063</c:v>
                </c:pt>
                <c:pt idx="225">
                  <c:v>46064</c:v>
                </c:pt>
                <c:pt idx="226">
                  <c:v>46065</c:v>
                </c:pt>
                <c:pt idx="227">
                  <c:v>46066</c:v>
                </c:pt>
                <c:pt idx="228">
                  <c:v>46067</c:v>
                </c:pt>
                <c:pt idx="229">
                  <c:v>46068</c:v>
                </c:pt>
                <c:pt idx="230">
                  <c:v>46069</c:v>
                </c:pt>
                <c:pt idx="231">
                  <c:v>46070</c:v>
                </c:pt>
                <c:pt idx="232">
                  <c:v>46071</c:v>
                </c:pt>
                <c:pt idx="233">
                  <c:v>46072</c:v>
                </c:pt>
                <c:pt idx="234">
                  <c:v>46073</c:v>
                </c:pt>
                <c:pt idx="235">
                  <c:v>46074</c:v>
                </c:pt>
                <c:pt idx="236">
                  <c:v>46075</c:v>
                </c:pt>
                <c:pt idx="237">
                  <c:v>46076</c:v>
                </c:pt>
                <c:pt idx="238">
                  <c:v>46077</c:v>
                </c:pt>
                <c:pt idx="239">
                  <c:v>46078</c:v>
                </c:pt>
                <c:pt idx="240">
                  <c:v>46079</c:v>
                </c:pt>
                <c:pt idx="241">
                  <c:v>46080</c:v>
                </c:pt>
                <c:pt idx="242">
                  <c:v>46081</c:v>
                </c:pt>
                <c:pt idx="243">
                  <c:v>46082</c:v>
                </c:pt>
                <c:pt idx="244">
                  <c:v>46083</c:v>
                </c:pt>
                <c:pt idx="245">
                  <c:v>46084</c:v>
                </c:pt>
                <c:pt idx="246">
                  <c:v>46085</c:v>
                </c:pt>
                <c:pt idx="247">
                  <c:v>46086</c:v>
                </c:pt>
                <c:pt idx="248">
                  <c:v>46087</c:v>
                </c:pt>
                <c:pt idx="249">
                  <c:v>46088</c:v>
                </c:pt>
                <c:pt idx="250">
                  <c:v>46089</c:v>
                </c:pt>
                <c:pt idx="251">
                  <c:v>46090</c:v>
                </c:pt>
                <c:pt idx="252">
                  <c:v>46091</c:v>
                </c:pt>
                <c:pt idx="253">
                  <c:v>46092</c:v>
                </c:pt>
                <c:pt idx="254">
                  <c:v>46093</c:v>
                </c:pt>
                <c:pt idx="255">
                  <c:v>46094</c:v>
                </c:pt>
                <c:pt idx="256">
                  <c:v>46095</c:v>
                </c:pt>
                <c:pt idx="257">
                  <c:v>46096</c:v>
                </c:pt>
                <c:pt idx="258">
                  <c:v>46097</c:v>
                </c:pt>
                <c:pt idx="259">
                  <c:v>46098</c:v>
                </c:pt>
                <c:pt idx="260">
                  <c:v>46099</c:v>
                </c:pt>
                <c:pt idx="261">
                  <c:v>46100</c:v>
                </c:pt>
                <c:pt idx="262">
                  <c:v>46101</c:v>
                </c:pt>
                <c:pt idx="263">
                  <c:v>46102</c:v>
                </c:pt>
                <c:pt idx="264">
                  <c:v>46103</c:v>
                </c:pt>
                <c:pt idx="265">
                  <c:v>46104</c:v>
                </c:pt>
                <c:pt idx="266">
                  <c:v>46105</c:v>
                </c:pt>
                <c:pt idx="267">
                  <c:v>46106</c:v>
                </c:pt>
                <c:pt idx="268">
                  <c:v>46107</c:v>
                </c:pt>
                <c:pt idx="269">
                  <c:v>46108</c:v>
                </c:pt>
                <c:pt idx="270">
                  <c:v>46109</c:v>
                </c:pt>
                <c:pt idx="271">
                  <c:v>46110</c:v>
                </c:pt>
                <c:pt idx="272">
                  <c:v>46111</c:v>
                </c:pt>
                <c:pt idx="273">
                  <c:v>46112</c:v>
                </c:pt>
                <c:pt idx="274">
                  <c:v>46113</c:v>
                </c:pt>
                <c:pt idx="275">
                  <c:v>46114</c:v>
                </c:pt>
                <c:pt idx="276">
                  <c:v>46115</c:v>
                </c:pt>
                <c:pt idx="277">
                  <c:v>46116</c:v>
                </c:pt>
                <c:pt idx="278">
                  <c:v>46117</c:v>
                </c:pt>
                <c:pt idx="279">
                  <c:v>46118</c:v>
                </c:pt>
                <c:pt idx="280">
                  <c:v>46119</c:v>
                </c:pt>
                <c:pt idx="281">
                  <c:v>46120</c:v>
                </c:pt>
                <c:pt idx="282">
                  <c:v>46121</c:v>
                </c:pt>
                <c:pt idx="283">
                  <c:v>46122</c:v>
                </c:pt>
                <c:pt idx="284">
                  <c:v>46123</c:v>
                </c:pt>
                <c:pt idx="285">
                  <c:v>46124</c:v>
                </c:pt>
                <c:pt idx="286">
                  <c:v>46125</c:v>
                </c:pt>
                <c:pt idx="287">
                  <c:v>46126</c:v>
                </c:pt>
                <c:pt idx="288">
                  <c:v>46127</c:v>
                </c:pt>
                <c:pt idx="289">
                  <c:v>46128</c:v>
                </c:pt>
                <c:pt idx="290">
                  <c:v>46129</c:v>
                </c:pt>
                <c:pt idx="291">
                  <c:v>46130</c:v>
                </c:pt>
                <c:pt idx="292">
                  <c:v>46131</c:v>
                </c:pt>
                <c:pt idx="293">
                  <c:v>46132</c:v>
                </c:pt>
                <c:pt idx="294">
                  <c:v>46133</c:v>
                </c:pt>
                <c:pt idx="295">
                  <c:v>46134</c:v>
                </c:pt>
                <c:pt idx="296">
                  <c:v>46135</c:v>
                </c:pt>
                <c:pt idx="297">
                  <c:v>46136</c:v>
                </c:pt>
                <c:pt idx="298">
                  <c:v>46137</c:v>
                </c:pt>
                <c:pt idx="299">
                  <c:v>46138</c:v>
                </c:pt>
                <c:pt idx="300">
                  <c:v>46139</c:v>
                </c:pt>
                <c:pt idx="301">
                  <c:v>46140</c:v>
                </c:pt>
                <c:pt idx="302">
                  <c:v>46141</c:v>
                </c:pt>
                <c:pt idx="303">
                  <c:v>46142</c:v>
                </c:pt>
                <c:pt idx="304">
                  <c:v>46143</c:v>
                </c:pt>
                <c:pt idx="305">
                  <c:v>46144</c:v>
                </c:pt>
                <c:pt idx="306">
                  <c:v>46145</c:v>
                </c:pt>
                <c:pt idx="307">
                  <c:v>46146</c:v>
                </c:pt>
                <c:pt idx="308">
                  <c:v>46147</c:v>
                </c:pt>
                <c:pt idx="309">
                  <c:v>46148</c:v>
                </c:pt>
                <c:pt idx="310">
                  <c:v>46149</c:v>
                </c:pt>
                <c:pt idx="311">
                  <c:v>46150</c:v>
                </c:pt>
                <c:pt idx="312">
                  <c:v>46151</c:v>
                </c:pt>
                <c:pt idx="313">
                  <c:v>46152</c:v>
                </c:pt>
                <c:pt idx="314">
                  <c:v>46153</c:v>
                </c:pt>
                <c:pt idx="315">
                  <c:v>46154</c:v>
                </c:pt>
                <c:pt idx="316">
                  <c:v>46155</c:v>
                </c:pt>
                <c:pt idx="317">
                  <c:v>46156</c:v>
                </c:pt>
                <c:pt idx="318">
                  <c:v>46157</c:v>
                </c:pt>
                <c:pt idx="319">
                  <c:v>46158</c:v>
                </c:pt>
                <c:pt idx="320">
                  <c:v>46159</c:v>
                </c:pt>
                <c:pt idx="321">
                  <c:v>46160</c:v>
                </c:pt>
                <c:pt idx="322">
                  <c:v>46161</c:v>
                </c:pt>
                <c:pt idx="323">
                  <c:v>46162</c:v>
                </c:pt>
                <c:pt idx="324">
                  <c:v>46163</c:v>
                </c:pt>
                <c:pt idx="325">
                  <c:v>46164</c:v>
                </c:pt>
                <c:pt idx="326">
                  <c:v>46165</c:v>
                </c:pt>
                <c:pt idx="327">
                  <c:v>46166</c:v>
                </c:pt>
                <c:pt idx="328">
                  <c:v>46167</c:v>
                </c:pt>
                <c:pt idx="329">
                  <c:v>46168</c:v>
                </c:pt>
                <c:pt idx="330">
                  <c:v>46169</c:v>
                </c:pt>
                <c:pt idx="331">
                  <c:v>46170</c:v>
                </c:pt>
                <c:pt idx="332">
                  <c:v>46171</c:v>
                </c:pt>
                <c:pt idx="333">
                  <c:v>46172</c:v>
                </c:pt>
                <c:pt idx="334">
                  <c:v>46173</c:v>
                </c:pt>
                <c:pt idx="335">
                  <c:v>46174</c:v>
                </c:pt>
                <c:pt idx="336">
                  <c:v>46175</c:v>
                </c:pt>
                <c:pt idx="337">
                  <c:v>46176</c:v>
                </c:pt>
                <c:pt idx="338">
                  <c:v>46177</c:v>
                </c:pt>
                <c:pt idx="339">
                  <c:v>46178</c:v>
                </c:pt>
                <c:pt idx="340">
                  <c:v>46179</c:v>
                </c:pt>
                <c:pt idx="341">
                  <c:v>46180</c:v>
                </c:pt>
                <c:pt idx="342">
                  <c:v>46181</c:v>
                </c:pt>
                <c:pt idx="343">
                  <c:v>46182</c:v>
                </c:pt>
                <c:pt idx="344">
                  <c:v>46183</c:v>
                </c:pt>
                <c:pt idx="345">
                  <c:v>46184</c:v>
                </c:pt>
                <c:pt idx="346">
                  <c:v>46185</c:v>
                </c:pt>
                <c:pt idx="347">
                  <c:v>46186</c:v>
                </c:pt>
                <c:pt idx="348">
                  <c:v>46187</c:v>
                </c:pt>
                <c:pt idx="349">
                  <c:v>46188</c:v>
                </c:pt>
                <c:pt idx="350">
                  <c:v>46189</c:v>
                </c:pt>
                <c:pt idx="351">
                  <c:v>46190</c:v>
                </c:pt>
                <c:pt idx="352">
                  <c:v>46191</c:v>
                </c:pt>
                <c:pt idx="353">
                  <c:v>46192</c:v>
                </c:pt>
                <c:pt idx="354">
                  <c:v>46193</c:v>
                </c:pt>
                <c:pt idx="355">
                  <c:v>46194</c:v>
                </c:pt>
                <c:pt idx="356">
                  <c:v>46195</c:v>
                </c:pt>
                <c:pt idx="357">
                  <c:v>46196</c:v>
                </c:pt>
                <c:pt idx="358">
                  <c:v>46197</c:v>
                </c:pt>
                <c:pt idx="359">
                  <c:v>46198</c:v>
                </c:pt>
                <c:pt idx="360">
                  <c:v>46199</c:v>
                </c:pt>
                <c:pt idx="361">
                  <c:v>46200</c:v>
                </c:pt>
                <c:pt idx="362">
                  <c:v>46201</c:v>
                </c:pt>
                <c:pt idx="363">
                  <c:v>46202</c:v>
                </c:pt>
                <c:pt idx="364">
                  <c:v>46203</c:v>
                </c:pt>
                <c:pt idx="365">
                  <c:v>46204</c:v>
                </c:pt>
              </c:numCache>
            </c:numRef>
          </c:cat>
          <c:val>
            <c:numRef>
              <c:f>DATOS!$C$2:$C$394</c:f>
              <c:numCache>
                <c:formatCode>General</c:formatCode>
                <c:ptCount val="393"/>
                <c:pt idx="0">
                  <c:v>-2.2000000000000002</c:v>
                </c:pt>
                <c:pt idx="1">
                  <c:v>-0.7</c:v>
                </c:pt>
                <c:pt idx="2">
                  <c:v>2.2999999999999998</c:v>
                </c:pt>
                <c:pt idx="3">
                  <c:v>2.1</c:v>
                </c:pt>
                <c:pt idx="4">
                  <c:v>0.9</c:v>
                </c:pt>
                <c:pt idx="5">
                  <c:v>10</c:v>
                </c:pt>
                <c:pt idx="6">
                  <c:v>9.3000000000000007</c:v>
                </c:pt>
                <c:pt idx="7">
                  <c:v>8.6</c:v>
                </c:pt>
                <c:pt idx="8">
                  <c:v>13.2</c:v>
                </c:pt>
                <c:pt idx="9">
                  <c:v>9.1</c:v>
                </c:pt>
                <c:pt idx="10">
                  <c:v>4.7</c:v>
                </c:pt>
                <c:pt idx="11">
                  <c:v>9.4</c:v>
                </c:pt>
                <c:pt idx="12">
                  <c:v>6.3</c:v>
                </c:pt>
                <c:pt idx="13">
                  <c:v>9.1999999999999993</c:v>
                </c:pt>
                <c:pt idx="14">
                  <c:v>12.8</c:v>
                </c:pt>
                <c:pt idx="15">
                  <c:v>6.5</c:v>
                </c:pt>
                <c:pt idx="16">
                  <c:v>2.4</c:v>
                </c:pt>
                <c:pt idx="17">
                  <c:v>5.8</c:v>
                </c:pt>
                <c:pt idx="18">
                  <c:v>6.4</c:v>
                </c:pt>
                <c:pt idx="19">
                  <c:v>6.8</c:v>
                </c:pt>
                <c:pt idx="20">
                  <c:v>6.3</c:v>
                </c:pt>
                <c:pt idx="21">
                  <c:v>5.8</c:v>
                </c:pt>
                <c:pt idx="22">
                  <c:v>6.6</c:v>
                </c:pt>
                <c:pt idx="23">
                  <c:v>7.4</c:v>
                </c:pt>
                <c:pt idx="24">
                  <c:v>8.1999999999999993</c:v>
                </c:pt>
                <c:pt idx="25">
                  <c:v>7.1</c:v>
                </c:pt>
                <c:pt idx="26">
                  <c:v>6.4</c:v>
                </c:pt>
                <c:pt idx="27">
                  <c:v>5.4</c:v>
                </c:pt>
                <c:pt idx="28">
                  <c:v>6</c:v>
                </c:pt>
                <c:pt idx="29">
                  <c:v>10.1</c:v>
                </c:pt>
                <c:pt idx="30">
                  <c:v>13.3</c:v>
                </c:pt>
                <c:pt idx="31">
                  <c:v>11.6</c:v>
                </c:pt>
                <c:pt idx="32">
                  <c:v>7.4</c:v>
                </c:pt>
                <c:pt idx="33">
                  <c:v>6</c:v>
                </c:pt>
                <c:pt idx="34">
                  <c:v>5.2</c:v>
                </c:pt>
                <c:pt idx="35">
                  <c:v>4.5999999999999996</c:v>
                </c:pt>
                <c:pt idx="36">
                  <c:v>5.0999999999999996</c:v>
                </c:pt>
                <c:pt idx="37">
                  <c:v>5.5</c:v>
                </c:pt>
                <c:pt idx="38">
                  <c:v>1.7</c:v>
                </c:pt>
                <c:pt idx="39">
                  <c:v>2.1</c:v>
                </c:pt>
                <c:pt idx="40">
                  <c:v>3.1</c:v>
                </c:pt>
                <c:pt idx="41">
                  <c:v>5.5</c:v>
                </c:pt>
                <c:pt idx="42">
                  <c:v>9.4</c:v>
                </c:pt>
                <c:pt idx="43">
                  <c:v>7.2</c:v>
                </c:pt>
                <c:pt idx="44">
                  <c:v>4.4000000000000004</c:v>
                </c:pt>
                <c:pt idx="45">
                  <c:v>3.9</c:v>
                </c:pt>
                <c:pt idx="46">
                  <c:v>7</c:v>
                </c:pt>
                <c:pt idx="47">
                  <c:v>6</c:v>
                </c:pt>
                <c:pt idx="48">
                  <c:v>9</c:v>
                </c:pt>
                <c:pt idx="49">
                  <c:v>11</c:v>
                </c:pt>
                <c:pt idx="50">
                  <c:v>9.9</c:v>
                </c:pt>
                <c:pt idx="51">
                  <c:v>8.1999999999999993</c:v>
                </c:pt>
                <c:pt idx="52">
                  <c:v>9.9</c:v>
                </c:pt>
                <c:pt idx="53">
                  <c:v>4.5999999999999996</c:v>
                </c:pt>
                <c:pt idx="54">
                  <c:v>4.3</c:v>
                </c:pt>
                <c:pt idx="55">
                  <c:v>5.2</c:v>
                </c:pt>
                <c:pt idx="56">
                  <c:v>5.9</c:v>
                </c:pt>
                <c:pt idx="57">
                  <c:v>8.1</c:v>
                </c:pt>
                <c:pt idx="58">
                  <c:v>9.5</c:v>
                </c:pt>
                <c:pt idx="59">
                  <c:v>13.1</c:v>
                </c:pt>
                <c:pt idx="60">
                  <c:v>14.7</c:v>
                </c:pt>
                <c:pt idx="61">
                  <c:v>7.7</c:v>
                </c:pt>
                <c:pt idx="62">
                  <c:v>5.2</c:v>
                </c:pt>
                <c:pt idx="63">
                  <c:v>8.5</c:v>
                </c:pt>
                <c:pt idx="64">
                  <c:v>7.7</c:v>
                </c:pt>
                <c:pt idx="65">
                  <c:v>5.0999999999999996</c:v>
                </c:pt>
                <c:pt idx="66">
                  <c:v>1.7</c:v>
                </c:pt>
                <c:pt idx="67">
                  <c:v>3.7</c:v>
                </c:pt>
                <c:pt idx="68">
                  <c:v>5.2</c:v>
                </c:pt>
                <c:pt idx="69">
                  <c:v>6.8</c:v>
                </c:pt>
                <c:pt idx="70">
                  <c:v>5.2</c:v>
                </c:pt>
                <c:pt idx="71">
                  <c:v>12.6</c:v>
                </c:pt>
                <c:pt idx="72">
                  <c:v>7.7</c:v>
                </c:pt>
                <c:pt idx="73">
                  <c:v>9.1</c:v>
                </c:pt>
                <c:pt idx="74">
                  <c:v>12</c:v>
                </c:pt>
                <c:pt idx="75">
                  <c:v>11.2</c:v>
                </c:pt>
                <c:pt idx="76">
                  <c:v>13.5</c:v>
                </c:pt>
                <c:pt idx="77">
                  <c:v>13.9</c:v>
                </c:pt>
                <c:pt idx="78">
                  <c:v>15.3</c:v>
                </c:pt>
                <c:pt idx="79">
                  <c:v>17.100000000000001</c:v>
                </c:pt>
                <c:pt idx="80">
                  <c:v>17.7</c:v>
                </c:pt>
                <c:pt idx="81">
                  <c:v>14.6</c:v>
                </c:pt>
                <c:pt idx="82">
                  <c:v>11.7</c:v>
                </c:pt>
                <c:pt idx="83">
                  <c:v>10.6</c:v>
                </c:pt>
                <c:pt idx="84">
                  <c:v>7.2</c:v>
                </c:pt>
                <c:pt idx="85">
                  <c:v>10.199999999999999</c:v>
                </c:pt>
                <c:pt idx="86">
                  <c:v>12.4</c:v>
                </c:pt>
                <c:pt idx="87">
                  <c:v>12.5</c:v>
                </c:pt>
                <c:pt idx="88">
                  <c:v>11.8</c:v>
                </c:pt>
                <c:pt idx="89">
                  <c:v>7</c:v>
                </c:pt>
                <c:pt idx="90">
                  <c:v>11.2</c:v>
                </c:pt>
                <c:pt idx="91">
                  <c:v>12.1</c:v>
                </c:pt>
                <c:pt idx="92">
                  <c:v>10.5</c:v>
                </c:pt>
                <c:pt idx="93">
                  <c:v>11.4</c:v>
                </c:pt>
                <c:pt idx="94">
                  <c:v>14.6</c:v>
                </c:pt>
                <c:pt idx="95">
                  <c:v>18.899999999999999</c:v>
                </c:pt>
                <c:pt idx="96">
                  <c:v>10.8</c:v>
                </c:pt>
                <c:pt idx="97">
                  <c:v>7.4</c:v>
                </c:pt>
                <c:pt idx="98">
                  <c:v>7.8</c:v>
                </c:pt>
                <c:pt idx="99">
                  <c:v>10.9</c:v>
                </c:pt>
                <c:pt idx="100">
                  <c:v>12.2</c:v>
                </c:pt>
                <c:pt idx="101">
                  <c:v>14.2</c:v>
                </c:pt>
                <c:pt idx="102">
                  <c:v>15</c:v>
                </c:pt>
                <c:pt idx="103">
                  <c:v>11.5</c:v>
                </c:pt>
                <c:pt idx="104">
                  <c:v>10.1</c:v>
                </c:pt>
                <c:pt idx="105">
                  <c:v>11.7</c:v>
                </c:pt>
                <c:pt idx="106">
                  <c:v>15.7</c:v>
                </c:pt>
                <c:pt idx="107">
                  <c:v>16.8</c:v>
                </c:pt>
                <c:pt idx="108">
                  <c:v>13</c:v>
                </c:pt>
                <c:pt idx="109">
                  <c:v>9.6</c:v>
                </c:pt>
                <c:pt idx="110">
                  <c:v>12.6</c:v>
                </c:pt>
                <c:pt idx="111">
                  <c:v>13.6</c:v>
                </c:pt>
                <c:pt idx="112">
                  <c:v>15.5</c:v>
                </c:pt>
                <c:pt idx="113">
                  <c:v>17.5</c:v>
                </c:pt>
                <c:pt idx="114">
                  <c:v>19.3</c:v>
                </c:pt>
                <c:pt idx="115">
                  <c:v>16.600000000000001</c:v>
                </c:pt>
                <c:pt idx="116">
                  <c:v>11.4</c:v>
                </c:pt>
                <c:pt idx="117">
                  <c:v>8.9</c:v>
                </c:pt>
                <c:pt idx="118">
                  <c:v>8</c:v>
                </c:pt>
                <c:pt idx="119">
                  <c:v>7.8</c:v>
                </c:pt>
                <c:pt idx="120">
                  <c:v>6.3</c:v>
                </c:pt>
                <c:pt idx="121">
                  <c:v>9.6999999999999993</c:v>
                </c:pt>
                <c:pt idx="122">
                  <c:v>11.1</c:v>
                </c:pt>
                <c:pt idx="123">
                  <c:v>15.4</c:v>
                </c:pt>
                <c:pt idx="124">
                  <c:v>14.8</c:v>
                </c:pt>
                <c:pt idx="125">
                  <c:v>14.2</c:v>
                </c:pt>
                <c:pt idx="126">
                  <c:v>16.899999999999999</c:v>
                </c:pt>
                <c:pt idx="127">
                  <c:v>13.2</c:v>
                </c:pt>
                <c:pt idx="128">
                  <c:v>12.8</c:v>
                </c:pt>
                <c:pt idx="129">
                  <c:v>11</c:v>
                </c:pt>
                <c:pt idx="130">
                  <c:v>7</c:v>
                </c:pt>
                <c:pt idx="131">
                  <c:v>10.5</c:v>
                </c:pt>
                <c:pt idx="132">
                  <c:v>12.9</c:v>
                </c:pt>
                <c:pt idx="133">
                  <c:v>16</c:v>
                </c:pt>
                <c:pt idx="134">
                  <c:v>13.5</c:v>
                </c:pt>
                <c:pt idx="135">
                  <c:v>12.3</c:v>
                </c:pt>
                <c:pt idx="136">
                  <c:v>15.9</c:v>
                </c:pt>
                <c:pt idx="137">
                  <c:v>18.2</c:v>
                </c:pt>
                <c:pt idx="138">
                  <c:v>14.8</c:v>
                </c:pt>
                <c:pt idx="139">
                  <c:v>9.1</c:v>
                </c:pt>
                <c:pt idx="140">
                  <c:v>15.7</c:v>
                </c:pt>
                <c:pt idx="141">
                  <c:v>14.5</c:v>
                </c:pt>
                <c:pt idx="142">
                  <c:v>16.899999999999999</c:v>
                </c:pt>
                <c:pt idx="143">
                  <c:v>13.9</c:v>
                </c:pt>
                <c:pt idx="144">
                  <c:v>11.6</c:v>
                </c:pt>
                <c:pt idx="145">
                  <c:v>11.9</c:v>
                </c:pt>
                <c:pt idx="146">
                  <c:v>14.8</c:v>
                </c:pt>
                <c:pt idx="147">
                  <c:v>17.3</c:v>
                </c:pt>
                <c:pt idx="148">
                  <c:v>18.3</c:v>
                </c:pt>
                <c:pt idx="149">
                  <c:v>19.3</c:v>
                </c:pt>
                <c:pt idx="150">
                  <c:v>20.3</c:v>
                </c:pt>
                <c:pt idx="151">
                  <c:v>19.2</c:v>
                </c:pt>
                <c:pt idx="152">
                  <c:v>16.2</c:v>
                </c:pt>
                <c:pt idx="153">
                  <c:v>16.600000000000001</c:v>
                </c:pt>
                <c:pt idx="154">
                  <c:v>15.3</c:v>
                </c:pt>
                <c:pt idx="155">
                  <c:v>15.5</c:v>
                </c:pt>
                <c:pt idx="156">
                  <c:v>19.100000000000001</c:v>
                </c:pt>
                <c:pt idx="157">
                  <c:v>20.8</c:v>
                </c:pt>
                <c:pt idx="158">
                  <c:v>20.5</c:v>
                </c:pt>
                <c:pt idx="159">
                  <c:v>18.7</c:v>
                </c:pt>
                <c:pt idx="160">
                  <c:v>17.5</c:v>
                </c:pt>
                <c:pt idx="161">
                  <c:v>13.1</c:v>
                </c:pt>
                <c:pt idx="162">
                  <c:v>16.100000000000001</c:v>
                </c:pt>
                <c:pt idx="163">
                  <c:v>21.2</c:v>
                </c:pt>
                <c:pt idx="164">
                  <c:v>16.600000000000001</c:v>
                </c:pt>
                <c:pt idx="165">
                  <c:v>22.7</c:v>
                </c:pt>
                <c:pt idx="166">
                  <c:v>15.4</c:v>
                </c:pt>
                <c:pt idx="167">
                  <c:v>11.6</c:v>
                </c:pt>
                <c:pt idx="168">
                  <c:v>13.5</c:v>
                </c:pt>
                <c:pt idx="169">
                  <c:v>17.5</c:v>
                </c:pt>
                <c:pt idx="170">
                  <c:v>20.399999999999999</c:v>
                </c:pt>
                <c:pt idx="171">
                  <c:v>19.7</c:v>
                </c:pt>
                <c:pt idx="172">
                  <c:v>21.4</c:v>
                </c:pt>
                <c:pt idx="173">
                  <c:v>20</c:v>
                </c:pt>
                <c:pt idx="174">
                  <c:v>20.100000000000001</c:v>
                </c:pt>
                <c:pt idx="175">
                  <c:v>20.3</c:v>
                </c:pt>
                <c:pt idx="176">
                  <c:v>19.5</c:v>
                </c:pt>
                <c:pt idx="177">
                  <c:v>18.2</c:v>
                </c:pt>
                <c:pt idx="178">
                  <c:v>17.7</c:v>
                </c:pt>
                <c:pt idx="179">
                  <c:v>22.8</c:v>
                </c:pt>
                <c:pt idx="180">
                  <c:v>17.3</c:v>
                </c:pt>
                <c:pt idx="181">
                  <c:v>18.5</c:v>
                </c:pt>
                <c:pt idx="182">
                  <c:v>22</c:v>
                </c:pt>
                <c:pt idx="183">
                  <c:v>24.2</c:v>
                </c:pt>
                <c:pt idx="184">
                  <c:v>21.2</c:v>
                </c:pt>
                <c:pt idx="185">
                  <c:v>20.2</c:v>
                </c:pt>
                <c:pt idx="186">
                  <c:v>17.100000000000001</c:v>
                </c:pt>
                <c:pt idx="187">
                  <c:v>13.8</c:v>
                </c:pt>
                <c:pt idx="188">
                  <c:v>16.899999999999999</c:v>
                </c:pt>
                <c:pt idx="189">
                  <c:v>19.600000000000001</c:v>
                </c:pt>
                <c:pt idx="190">
                  <c:v>16.8</c:v>
                </c:pt>
                <c:pt idx="191">
                  <c:v>15.9</c:v>
                </c:pt>
                <c:pt idx="192">
                  <c:v>15.6</c:v>
                </c:pt>
                <c:pt idx="193">
                  <c:v>15.4</c:v>
                </c:pt>
                <c:pt idx="194">
                  <c:v>17.3</c:v>
                </c:pt>
                <c:pt idx="195">
                  <c:v>21</c:v>
                </c:pt>
                <c:pt idx="196">
                  <c:v>23</c:v>
                </c:pt>
                <c:pt idx="197">
                  <c:v>20.5</c:v>
                </c:pt>
                <c:pt idx="198">
                  <c:v>20.399999999999999</c:v>
                </c:pt>
                <c:pt idx="199">
                  <c:v>18.600000000000001</c:v>
                </c:pt>
                <c:pt idx="200">
                  <c:v>21.1</c:v>
                </c:pt>
                <c:pt idx="201">
                  <c:v>18.899999999999999</c:v>
                </c:pt>
                <c:pt idx="202">
                  <c:v>15.2</c:v>
                </c:pt>
                <c:pt idx="203">
                  <c:v>16.600000000000001</c:v>
                </c:pt>
                <c:pt idx="204">
                  <c:v>18.5</c:v>
                </c:pt>
                <c:pt idx="205">
                  <c:v>21</c:v>
                </c:pt>
                <c:pt idx="206">
                  <c:v>20.5</c:v>
                </c:pt>
                <c:pt idx="207">
                  <c:v>21.8</c:v>
                </c:pt>
                <c:pt idx="208">
                  <c:v>22.4</c:v>
                </c:pt>
                <c:pt idx="209">
                  <c:v>19.600000000000001</c:v>
                </c:pt>
                <c:pt idx="210">
                  <c:v>18</c:v>
                </c:pt>
                <c:pt idx="211">
                  <c:v>19.8</c:v>
                </c:pt>
                <c:pt idx="212">
                  <c:v>18.3</c:v>
                </c:pt>
                <c:pt idx="213">
                  <c:v>18</c:v>
                </c:pt>
                <c:pt idx="214">
                  <c:v>20.8</c:v>
                </c:pt>
                <c:pt idx="215">
                  <c:v>19.5</c:v>
                </c:pt>
                <c:pt idx="216">
                  <c:v>18.3</c:v>
                </c:pt>
                <c:pt idx="217">
                  <c:v>19.899999999999999</c:v>
                </c:pt>
                <c:pt idx="218">
                  <c:v>19.399999999999999</c:v>
                </c:pt>
                <c:pt idx="219">
                  <c:v>19.5</c:v>
                </c:pt>
                <c:pt idx="220">
                  <c:v>19.2</c:v>
                </c:pt>
                <c:pt idx="221">
                  <c:v>14.3</c:v>
                </c:pt>
                <c:pt idx="222">
                  <c:v>15.9</c:v>
                </c:pt>
                <c:pt idx="223">
                  <c:v>19.8</c:v>
                </c:pt>
                <c:pt idx="224">
                  <c:v>15.5</c:v>
                </c:pt>
                <c:pt idx="225">
                  <c:v>18.899999999999999</c:v>
                </c:pt>
                <c:pt idx="226">
                  <c:v>15</c:v>
                </c:pt>
                <c:pt idx="227">
                  <c:v>15.3</c:v>
                </c:pt>
                <c:pt idx="228">
                  <c:v>19.2</c:v>
                </c:pt>
                <c:pt idx="229">
                  <c:v>19.100000000000001</c:v>
                </c:pt>
                <c:pt idx="230">
                  <c:v>14.9</c:v>
                </c:pt>
                <c:pt idx="231">
                  <c:v>19.600000000000001</c:v>
                </c:pt>
                <c:pt idx="232">
                  <c:v>22.4</c:v>
                </c:pt>
                <c:pt idx="233">
                  <c:v>20.2</c:v>
                </c:pt>
                <c:pt idx="234">
                  <c:v>14.6</c:v>
                </c:pt>
                <c:pt idx="235">
                  <c:v>17.399999999999999</c:v>
                </c:pt>
                <c:pt idx="236">
                  <c:v>18</c:v>
                </c:pt>
                <c:pt idx="237">
                  <c:v>17.399999999999999</c:v>
                </c:pt>
                <c:pt idx="238">
                  <c:v>18</c:v>
                </c:pt>
                <c:pt idx="239">
                  <c:v>12.5</c:v>
                </c:pt>
                <c:pt idx="240">
                  <c:v>13.9</c:v>
                </c:pt>
                <c:pt idx="241">
                  <c:v>13.4</c:v>
                </c:pt>
                <c:pt idx="242">
                  <c:v>17.899999999999999</c:v>
                </c:pt>
                <c:pt idx="243">
                  <c:v>17.899999999999999</c:v>
                </c:pt>
                <c:pt idx="244">
                  <c:v>19.3</c:v>
                </c:pt>
                <c:pt idx="245">
                  <c:v>15.5</c:v>
                </c:pt>
                <c:pt idx="246">
                  <c:v>15.5</c:v>
                </c:pt>
                <c:pt idx="247">
                  <c:v>19.3</c:v>
                </c:pt>
                <c:pt idx="248">
                  <c:v>18.3</c:v>
                </c:pt>
                <c:pt idx="249">
                  <c:v>17.100000000000001</c:v>
                </c:pt>
                <c:pt idx="250">
                  <c:v>17</c:v>
                </c:pt>
                <c:pt idx="251">
                  <c:v>17.5</c:v>
                </c:pt>
                <c:pt idx="252">
                  <c:v>16.399999999999999</c:v>
                </c:pt>
                <c:pt idx="253">
                  <c:v>16</c:v>
                </c:pt>
                <c:pt idx="254">
                  <c:v>15.7</c:v>
                </c:pt>
                <c:pt idx="255">
                  <c:v>15.7</c:v>
                </c:pt>
                <c:pt idx="256">
                  <c:v>18.100000000000001</c:v>
                </c:pt>
                <c:pt idx="257">
                  <c:v>16.600000000000001</c:v>
                </c:pt>
                <c:pt idx="258">
                  <c:v>19.8</c:v>
                </c:pt>
                <c:pt idx="259">
                  <c:v>15.6</c:v>
                </c:pt>
                <c:pt idx="260">
                  <c:v>12.6</c:v>
                </c:pt>
                <c:pt idx="261">
                  <c:v>17.2</c:v>
                </c:pt>
                <c:pt idx="262">
                  <c:v>19.399999999999999</c:v>
                </c:pt>
                <c:pt idx="263">
                  <c:v>12.1</c:v>
                </c:pt>
                <c:pt idx="264">
                  <c:v>9.4</c:v>
                </c:pt>
                <c:pt idx="265">
                  <c:v>12.4</c:v>
                </c:pt>
                <c:pt idx="266">
                  <c:v>10.5</c:v>
                </c:pt>
                <c:pt idx="267">
                  <c:v>12.7</c:v>
                </c:pt>
                <c:pt idx="268">
                  <c:v>13.4</c:v>
                </c:pt>
                <c:pt idx="269">
                  <c:v>14.5</c:v>
                </c:pt>
                <c:pt idx="270">
                  <c:v>19.600000000000001</c:v>
                </c:pt>
                <c:pt idx="271">
                  <c:v>22.2</c:v>
                </c:pt>
                <c:pt idx="272">
                  <c:v>23.3</c:v>
                </c:pt>
                <c:pt idx="273">
                  <c:v>23.7</c:v>
                </c:pt>
                <c:pt idx="274">
                  <c:v>22.2</c:v>
                </c:pt>
                <c:pt idx="275">
                  <c:v>20.5</c:v>
                </c:pt>
                <c:pt idx="276">
                  <c:v>18.399999999999999</c:v>
                </c:pt>
                <c:pt idx="277">
                  <c:v>12.8</c:v>
                </c:pt>
                <c:pt idx="278">
                  <c:v>12.3</c:v>
                </c:pt>
                <c:pt idx="279">
                  <c:v>13</c:v>
                </c:pt>
                <c:pt idx="280">
                  <c:v>13.9</c:v>
                </c:pt>
                <c:pt idx="281">
                  <c:v>11.2</c:v>
                </c:pt>
                <c:pt idx="282">
                  <c:v>8.9</c:v>
                </c:pt>
                <c:pt idx="283">
                  <c:v>11</c:v>
                </c:pt>
                <c:pt idx="284">
                  <c:v>13.4</c:v>
                </c:pt>
                <c:pt idx="285">
                  <c:v>13.1</c:v>
                </c:pt>
                <c:pt idx="286">
                  <c:v>15.7</c:v>
                </c:pt>
                <c:pt idx="287">
                  <c:v>17.8</c:v>
                </c:pt>
                <c:pt idx="288">
                  <c:v>17.899999999999999</c:v>
                </c:pt>
                <c:pt idx="289">
                  <c:v>15.2</c:v>
                </c:pt>
                <c:pt idx="290">
                  <c:v>14.8</c:v>
                </c:pt>
                <c:pt idx="291">
                  <c:v>15.8</c:v>
                </c:pt>
                <c:pt idx="292">
                  <c:v>15.1</c:v>
                </c:pt>
                <c:pt idx="293">
                  <c:v>12.1</c:v>
                </c:pt>
                <c:pt idx="294">
                  <c:v>11</c:v>
                </c:pt>
                <c:pt idx="295">
                  <c:v>6.3</c:v>
                </c:pt>
                <c:pt idx="296">
                  <c:v>7.1</c:v>
                </c:pt>
                <c:pt idx="297">
                  <c:v>12.1</c:v>
                </c:pt>
                <c:pt idx="298">
                  <c:v>10.8</c:v>
                </c:pt>
                <c:pt idx="299">
                  <c:v>7.5</c:v>
                </c:pt>
                <c:pt idx="300">
                  <c:v>3.3</c:v>
                </c:pt>
                <c:pt idx="301">
                  <c:v>8.9</c:v>
                </c:pt>
                <c:pt idx="302">
                  <c:v>10.6</c:v>
                </c:pt>
                <c:pt idx="303">
                  <c:v>9.1</c:v>
                </c:pt>
                <c:pt idx="304">
                  <c:v>11.1</c:v>
                </c:pt>
                <c:pt idx="305">
                  <c:v>8.3000000000000007</c:v>
                </c:pt>
                <c:pt idx="306">
                  <c:v>6</c:v>
                </c:pt>
                <c:pt idx="307">
                  <c:v>6.7</c:v>
                </c:pt>
                <c:pt idx="308">
                  <c:v>10.8</c:v>
                </c:pt>
                <c:pt idx="309">
                  <c:v>18.7</c:v>
                </c:pt>
                <c:pt idx="310">
                  <c:v>10.7</c:v>
                </c:pt>
                <c:pt idx="311">
                  <c:v>7</c:v>
                </c:pt>
                <c:pt idx="312">
                  <c:v>5.4</c:v>
                </c:pt>
                <c:pt idx="313">
                  <c:v>1.6</c:v>
                </c:pt>
                <c:pt idx="314">
                  <c:v>2.8</c:v>
                </c:pt>
                <c:pt idx="315">
                  <c:v>5</c:v>
                </c:pt>
                <c:pt idx="316">
                  <c:v>7.6</c:v>
                </c:pt>
                <c:pt idx="317">
                  <c:v>9.4</c:v>
                </c:pt>
                <c:pt idx="318">
                  <c:v>7.2</c:v>
                </c:pt>
                <c:pt idx="319">
                  <c:v>8.3000000000000007</c:v>
                </c:pt>
                <c:pt idx="320">
                  <c:v>5.0999999999999996</c:v>
                </c:pt>
                <c:pt idx="321">
                  <c:v>2.2000000000000002</c:v>
                </c:pt>
                <c:pt idx="322">
                  <c:v>2.8</c:v>
                </c:pt>
                <c:pt idx="323">
                  <c:v>4.5999999999999996</c:v>
                </c:pt>
                <c:pt idx="324">
                  <c:v>4.5999999999999996</c:v>
                </c:pt>
                <c:pt idx="325">
                  <c:v>3.1</c:v>
                </c:pt>
                <c:pt idx="326">
                  <c:v>2.5</c:v>
                </c:pt>
                <c:pt idx="327">
                  <c:v>4.0999999999999996</c:v>
                </c:pt>
                <c:pt idx="328">
                  <c:v>5.5</c:v>
                </c:pt>
                <c:pt idx="329">
                  <c:v>4.9000000000000004</c:v>
                </c:pt>
                <c:pt idx="330">
                  <c:v>7.3</c:v>
                </c:pt>
                <c:pt idx="331">
                  <c:v>10.6</c:v>
                </c:pt>
                <c:pt idx="332">
                  <c:v>11.1</c:v>
                </c:pt>
                <c:pt idx="333">
                  <c:v>7.8</c:v>
                </c:pt>
                <c:pt idx="334">
                  <c:v>7.8</c:v>
                </c:pt>
                <c:pt idx="335">
                  <c:v>13.7</c:v>
                </c:pt>
                <c:pt idx="336">
                  <c:v>11.9</c:v>
                </c:pt>
                <c:pt idx="337">
                  <c:v>11.9</c:v>
                </c:pt>
                <c:pt idx="338">
                  <c:v>14.2</c:v>
                </c:pt>
                <c:pt idx="339">
                  <c:v>15.1</c:v>
                </c:pt>
                <c:pt idx="340">
                  <c:v>14.1</c:v>
                </c:pt>
                <c:pt idx="341">
                  <c:v>12.5</c:v>
                </c:pt>
                <c:pt idx="342">
                  <c:v>11.4</c:v>
                </c:pt>
                <c:pt idx="343">
                  <c:v>7.9</c:v>
                </c:pt>
                <c:pt idx="344">
                  <c:v>9.1999999999999993</c:v>
                </c:pt>
                <c:pt idx="345">
                  <c:v>7.2</c:v>
                </c:pt>
                <c:pt idx="346">
                  <c:v>8</c:v>
                </c:pt>
                <c:pt idx="347">
                  <c:v>6</c:v>
                </c:pt>
                <c:pt idx="348">
                  <c:v>1.6</c:v>
                </c:pt>
                <c:pt idx="349">
                  <c:v>3.4</c:v>
                </c:pt>
                <c:pt idx="350">
                  <c:v>5</c:v>
                </c:pt>
                <c:pt idx="351">
                  <c:v>5.4</c:v>
                </c:pt>
                <c:pt idx="352">
                  <c:v>10.199999999999999</c:v>
                </c:pt>
                <c:pt idx="353">
                  <c:v>7.1</c:v>
                </c:pt>
                <c:pt idx="354">
                  <c:v>5.9</c:v>
                </c:pt>
                <c:pt idx="355">
                  <c:v>6.6</c:v>
                </c:pt>
                <c:pt idx="356">
                  <c:v>4.7</c:v>
                </c:pt>
                <c:pt idx="357">
                  <c:v>3.8</c:v>
                </c:pt>
                <c:pt idx="358">
                  <c:v>0.2</c:v>
                </c:pt>
                <c:pt idx="359">
                  <c:v>4.9000000000000004</c:v>
                </c:pt>
                <c:pt idx="360">
                  <c:v>4.5999999999999996</c:v>
                </c:pt>
                <c:pt idx="361">
                  <c:v>4.0999999999999996</c:v>
                </c:pt>
                <c:pt idx="362">
                  <c:v>5.4</c:v>
                </c:pt>
                <c:pt idx="363">
                  <c:v>2.6</c:v>
                </c:pt>
                <c:pt idx="364">
                  <c:v>1.3</c:v>
                </c:pt>
                <c:pt idx="36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96D-48FE-8555-A72D76479F9F}"/>
            </c:ext>
          </c:extLst>
        </c:ser>
        <c:ser>
          <c:idx val="2"/>
          <c:order val="2"/>
          <c:tx>
            <c:strRef>
              <c:f>DATOS!$D$1</c:f>
              <c:strCache>
                <c:ptCount val="1"/>
                <c:pt idx="0">
                  <c:v>Temp MEDIA</c:v>
                </c:pt>
              </c:strCache>
            </c:strRef>
          </c:tx>
          <c:spPr>
            <a:ln w="9525" cap="rnd">
              <a:solidFill>
                <a:schemeClr val="tx1">
                  <a:alpha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DATOS!$A$2:$A$394</c:f>
              <c:numCache>
                <c:formatCode>dd/mm/yyyy</c:formatCode>
                <c:ptCount val="393"/>
                <c:pt idx="0">
                  <c:v>45839</c:v>
                </c:pt>
                <c:pt idx="1">
                  <c:v>45840</c:v>
                </c:pt>
                <c:pt idx="2">
                  <c:v>45841</c:v>
                </c:pt>
                <c:pt idx="3">
                  <c:v>45842</c:v>
                </c:pt>
                <c:pt idx="4">
                  <c:v>45843</c:v>
                </c:pt>
                <c:pt idx="5">
                  <c:v>45844</c:v>
                </c:pt>
                <c:pt idx="6">
                  <c:v>45845</c:v>
                </c:pt>
                <c:pt idx="7">
                  <c:v>45846</c:v>
                </c:pt>
                <c:pt idx="8">
                  <c:v>45847</c:v>
                </c:pt>
                <c:pt idx="9">
                  <c:v>45848</c:v>
                </c:pt>
                <c:pt idx="10">
                  <c:v>45849</c:v>
                </c:pt>
                <c:pt idx="11">
                  <c:v>45850</c:v>
                </c:pt>
                <c:pt idx="12">
                  <c:v>45851</c:v>
                </c:pt>
                <c:pt idx="13">
                  <c:v>45852</c:v>
                </c:pt>
                <c:pt idx="14">
                  <c:v>45853</c:v>
                </c:pt>
                <c:pt idx="15">
                  <c:v>45854</c:v>
                </c:pt>
                <c:pt idx="16">
                  <c:v>45855</c:v>
                </c:pt>
                <c:pt idx="17">
                  <c:v>45856</c:v>
                </c:pt>
                <c:pt idx="18">
                  <c:v>45857</c:v>
                </c:pt>
                <c:pt idx="19">
                  <c:v>45858</c:v>
                </c:pt>
                <c:pt idx="20">
                  <c:v>45859</c:v>
                </c:pt>
                <c:pt idx="21">
                  <c:v>45860</c:v>
                </c:pt>
                <c:pt idx="22">
                  <c:v>45861</c:v>
                </c:pt>
                <c:pt idx="23">
                  <c:v>45862</c:v>
                </c:pt>
                <c:pt idx="24">
                  <c:v>45863</c:v>
                </c:pt>
                <c:pt idx="25">
                  <c:v>45864</c:v>
                </c:pt>
                <c:pt idx="26">
                  <c:v>45865</c:v>
                </c:pt>
                <c:pt idx="27">
                  <c:v>45866</c:v>
                </c:pt>
                <c:pt idx="28">
                  <c:v>45867</c:v>
                </c:pt>
                <c:pt idx="29">
                  <c:v>45868</c:v>
                </c:pt>
                <c:pt idx="30">
                  <c:v>45869</c:v>
                </c:pt>
                <c:pt idx="31">
                  <c:v>45870</c:v>
                </c:pt>
                <c:pt idx="32">
                  <c:v>45871</c:v>
                </c:pt>
                <c:pt idx="33">
                  <c:v>45872</c:v>
                </c:pt>
                <c:pt idx="34">
                  <c:v>45873</c:v>
                </c:pt>
                <c:pt idx="35">
                  <c:v>45874</c:v>
                </c:pt>
                <c:pt idx="36">
                  <c:v>45875</c:v>
                </c:pt>
                <c:pt idx="37">
                  <c:v>45876</c:v>
                </c:pt>
                <c:pt idx="38">
                  <c:v>45877</c:v>
                </c:pt>
                <c:pt idx="39">
                  <c:v>45878</c:v>
                </c:pt>
                <c:pt idx="40">
                  <c:v>45879</c:v>
                </c:pt>
                <c:pt idx="41">
                  <c:v>45880</c:v>
                </c:pt>
                <c:pt idx="42">
                  <c:v>45881</c:v>
                </c:pt>
                <c:pt idx="43">
                  <c:v>45882</c:v>
                </c:pt>
                <c:pt idx="44">
                  <c:v>45883</c:v>
                </c:pt>
                <c:pt idx="45">
                  <c:v>45884</c:v>
                </c:pt>
                <c:pt idx="46">
                  <c:v>45885</c:v>
                </c:pt>
                <c:pt idx="47">
                  <c:v>45886</c:v>
                </c:pt>
                <c:pt idx="48">
                  <c:v>45887</c:v>
                </c:pt>
                <c:pt idx="49">
                  <c:v>45888</c:v>
                </c:pt>
                <c:pt idx="50">
                  <c:v>45889</c:v>
                </c:pt>
                <c:pt idx="51">
                  <c:v>45890</c:v>
                </c:pt>
                <c:pt idx="52">
                  <c:v>45891</c:v>
                </c:pt>
                <c:pt idx="53">
                  <c:v>45892</c:v>
                </c:pt>
                <c:pt idx="54">
                  <c:v>45893</c:v>
                </c:pt>
                <c:pt idx="55">
                  <c:v>45894</c:v>
                </c:pt>
                <c:pt idx="56">
                  <c:v>45895</c:v>
                </c:pt>
                <c:pt idx="57">
                  <c:v>45896</c:v>
                </c:pt>
                <c:pt idx="58">
                  <c:v>45897</c:v>
                </c:pt>
                <c:pt idx="59">
                  <c:v>45898</c:v>
                </c:pt>
                <c:pt idx="60">
                  <c:v>45899</c:v>
                </c:pt>
                <c:pt idx="61">
                  <c:v>45900</c:v>
                </c:pt>
                <c:pt idx="62">
                  <c:v>45901</c:v>
                </c:pt>
                <c:pt idx="63">
                  <c:v>45902</c:v>
                </c:pt>
                <c:pt idx="64">
                  <c:v>45903</c:v>
                </c:pt>
                <c:pt idx="65">
                  <c:v>45904</c:v>
                </c:pt>
                <c:pt idx="66">
                  <c:v>45905</c:v>
                </c:pt>
                <c:pt idx="67">
                  <c:v>45906</c:v>
                </c:pt>
                <c:pt idx="68">
                  <c:v>45907</c:v>
                </c:pt>
                <c:pt idx="69">
                  <c:v>45908</c:v>
                </c:pt>
                <c:pt idx="70">
                  <c:v>45909</c:v>
                </c:pt>
                <c:pt idx="71">
                  <c:v>45910</c:v>
                </c:pt>
                <c:pt idx="72">
                  <c:v>45911</c:v>
                </c:pt>
                <c:pt idx="73">
                  <c:v>45912</c:v>
                </c:pt>
                <c:pt idx="74">
                  <c:v>45913</c:v>
                </c:pt>
                <c:pt idx="75">
                  <c:v>45914</c:v>
                </c:pt>
                <c:pt idx="76">
                  <c:v>45915</c:v>
                </c:pt>
                <c:pt idx="77">
                  <c:v>45916</c:v>
                </c:pt>
                <c:pt idx="78">
                  <c:v>45917</c:v>
                </c:pt>
                <c:pt idx="79">
                  <c:v>45918</c:v>
                </c:pt>
                <c:pt idx="80">
                  <c:v>45919</c:v>
                </c:pt>
                <c:pt idx="81">
                  <c:v>45920</c:v>
                </c:pt>
                <c:pt idx="82">
                  <c:v>45921</c:v>
                </c:pt>
                <c:pt idx="83">
                  <c:v>45922</c:v>
                </c:pt>
                <c:pt idx="84">
                  <c:v>45923</c:v>
                </c:pt>
                <c:pt idx="85">
                  <c:v>45924</c:v>
                </c:pt>
                <c:pt idx="86">
                  <c:v>45925</c:v>
                </c:pt>
                <c:pt idx="87">
                  <c:v>45926</c:v>
                </c:pt>
                <c:pt idx="88">
                  <c:v>45927</c:v>
                </c:pt>
                <c:pt idx="89">
                  <c:v>45928</c:v>
                </c:pt>
                <c:pt idx="90">
                  <c:v>45929</c:v>
                </c:pt>
                <c:pt idx="91">
                  <c:v>45930</c:v>
                </c:pt>
                <c:pt idx="92">
                  <c:v>45931</c:v>
                </c:pt>
                <c:pt idx="93">
                  <c:v>45932</c:v>
                </c:pt>
                <c:pt idx="94">
                  <c:v>45933</c:v>
                </c:pt>
                <c:pt idx="95">
                  <c:v>45934</c:v>
                </c:pt>
                <c:pt idx="96">
                  <c:v>45935</c:v>
                </c:pt>
                <c:pt idx="97">
                  <c:v>45936</c:v>
                </c:pt>
                <c:pt idx="98">
                  <c:v>45937</c:v>
                </c:pt>
                <c:pt idx="99">
                  <c:v>45938</c:v>
                </c:pt>
                <c:pt idx="100">
                  <c:v>45939</c:v>
                </c:pt>
                <c:pt idx="101">
                  <c:v>45940</c:v>
                </c:pt>
                <c:pt idx="102">
                  <c:v>45941</c:v>
                </c:pt>
                <c:pt idx="103">
                  <c:v>45942</c:v>
                </c:pt>
                <c:pt idx="104">
                  <c:v>45943</c:v>
                </c:pt>
                <c:pt idx="105">
                  <c:v>45944</c:v>
                </c:pt>
                <c:pt idx="106">
                  <c:v>45945</c:v>
                </c:pt>
                <c:pt idx="107">
                  <c:v>45946</c:v>
                </c:pt>
                <c:pt idx="108">
                  <c:v>45947</c:v>
                </c:pt>
                <c:pt idx="109">
                  <c:v>45948</c:v>
                </c:pt>
                <c:pt idx="110">
                  <c:v>45949</c:v>
                </c:pt>
                <c:pt idx="111">
                  <c:v>45950</c:v>
                </c:pt>
                <c:pt idx="112">
                  <c:v>45951</c:v>
                </c:pt>
                <c:pt idx="113">
                  <c:v>45952</c:v>
                </c:pt>
                <c:pt idx="114">
                  <c:v>45953</c:v>
                </c:pt>
                <c:pt idx="115">
                  <c:v>45954</c:v>
                </c:pt>
                <c:pt idx="116">
                  <c:v>45955</c:v>
                </c:pt>
                <c:pt idx="117">
                  <c:v>45956</c:v>
                </c:pt>
                <c:pt idx="118">
                  <c:v>45957</c:v>
                </c:pt>
                <c:pt idx="119">
                  <c:v>45958</c:v>
                </c:pt>
                <c:pt idx="120">
                  <c:v>45959</c:v>
                </c:pt>
                <c:pt idx="121">
                  <c:v>45960</c:v>
                </c:pt>
                <c:pt idx="122">
                  <c:v>45961</c:v>
                </c:pt>
                <c:pt idx="123">
                  <c:v>45962</c:v>
                </c:pt>
                <c:pt idx="124">
                  <c:v>45963</c:v>
                </c:pt>
                <c:pt idx="125">
                  <c:v>45964</c:v>
                </c:pt>
                <c:pt idx="126">
                  <c:v>45965</c:v>
                </c:pt>
                <c:pt idx="127">
                  <c:v>45966</c:v>
                </c:pt>
                <c:pt idx="128">
                  <c:v>45967</c:v>
                </c:pt>
                <c:pt idx="129">
                  <c:v>45968</c:v>
                </c:pt>
                <c:pt idx="130">
                  <c:v>45969</c:v>
                </c:pt>
                <c:pt idx="131">
                  <c:v>45970</c:v>
                </c:pt>
                <c:pt idx="132">
                  <c:v>45971</c:v>
                </c:pt>
                <c:pt idx="133">
                  <c:v>45972</c:v>
                </c:pt>
                <c:pt idx="134">
                  <c:v>45973</c:v>
                </c:pt>
                <c:pt idx="135">
                  <c:v>45974</c:v>
                </c:pt>
                <c:pt idx="136">
                  <c:v>45975</c:v>
                </c:pt>
                <c:pt idx="137">
                  <c:v>45976</c:v>
                </c:pt>
                <c:pt idx="138">
                  <c:v>45977</c:v>
                </c:pt>
                <c:pt idx="139">
                  <c:v>45978</c:v>
                </c:pt>
                <c:pt idx="140">
                  <c:v>45979</c:v>
                </c:pt>
                <c:pt idx="141">
                  <c:v>45980</c:v>
                </c:pt>
                <c:pt idx="142">
                  <c:v>45981</c:v>
                </c:pt>
                <c:pt idx="143">
                  <c:v>45982</c:v>
                </c:pt>
                <c:pt idx="144">
                  <c:v>45983</c:v>
                </c:pt>
                <c:pt idx="145">
                  <c:v>45984</c:v>
                </c:pt>
                <c:pt idx="146">
                  <c:v>45985</c:v>
                </c:pt>
                <c:pt idx="147">
                  <c:v>45986</c:v>
                </c:pt>
                <c:pt idx="148">
                  <c:v>45987</c:v>
                </c:pt>
                <c:pt idx="149">
                  <c:v>45988</c:v>
                </c:pt>
                <c:pt idx="150">
                  <c:v>45989</c:v>
                </c:pt>
                <c:pt idx="151">
                  <c:v>45990</c:v>
                </c:pt>
                <c:pt idx="152">
                  <c:v>45991</c:v>
                </c:pt>
                <c:pt idx="153">
                  <c:v>45992</c:v>
                </c:pt>
                <c:pt idx="154">
                  <c:v>45993</c:v>
                </c:pt>
                <c:pt idx="155">
                  <c:v>45994</c:v>
                </c:pt>
                <c:pt idx="156">
                  <c:v>45995</c:v>
                </c:pt>
                <c:pt idx="157">
                  <c:v>45996</c:v>
                </c:pt>
                <c:pt idx="158">
                  <c:v>45997</c:v>
                </c:pt>
                <c:pt idx="159">
                  <c:v>45998</c:v>
                </c:pt>
                <c:pt idx="160">
                  <c:v>45999</c:v>
                </c:pt>
                <c:pt idx="161">
                  <c:v>46000</c:v>
                </c:pt>
                <c:pt idx="162">
                  <c:v>46001</c:v>
                </c:pt>
                <c:pt idx="163">
                  <c:v>46002</c:v>
                </c:pt>
                <c:pt idx="164">
                  <c:v>46003</c:v>
                </c:pt>
                <c:pt idx="165">
                  <c:v>46004</c:v>
                </c:pt>
                <c:pt idx="166">
                  <c:v>46005</c:v>
                </c:pt>
                <c:pt idx="167">
                  <c:v>46006</c:v>
                </c:pt>
                <c:pt idx="168">
                  <c:v>46007</c:v>
                </c:pt>
                <c:pt idx="169">
                  <c:v>46008</c:v>
                </c:pt>
                <c:pt idx="170">
                  <c:v>46009</c:v>
                </c:pt>
                <c:pt idx="171">
                  <c:v>46010</c:v>
                </c:pt>
                <c:pt idx="172">
                  <c:v>46011</c:v>
                </c:pt>
                <c:pt idx="173">
                  <c:v>46012</c:v>
                </c:pt>
                <c:pt idx="174">
                  <c:v>46013</c:v>
                </c:pt>
                <c:pt idx="175">
                  <c:v>46014</c:v>
                </c:pt>
                <c:pt idx="176">
                  <c:v>46015</c:v>
                </c:pt>
                <c:pt idx="177">
                  <c:v>46016</c:v>
                </c:pt>
                <c:pt idx="178">
                  <c:v>46017</c:v>
                </c:pt>
                <c:pt idx="179">
                  <c:v>46018</c:v>
                </c:pt>
                <c:pt idx="180">
                  <c:v>46019</c:v>
                </c:pt>
                <c:pt idx="181">
                  <c:v>46020</c:v>
                </c:pt>
                <c:pt idx="182">
                  <c:v>46021</c:v>
                </c:pt>
                <c:pt idx="183">
                  <c:v>46022</c:v>
                </c:pt>
                <c:pt idx="184">
                  <c:v>46023</c:v>
                </c:pt>
                <c:pt idx="185">
                  <c:v>46024</c:v>
                </c:pt>
                <c:pt idx="186">
                  <c:v>46025</c:v>
                </c:pt>
                <c:pt idx="187">
                  <c:v>46026</c:v>
                </c:pt>
                <c:pt idx="188">
                  <c:v>46027</c:v>
                </c:pt>
                <c:pt idx="189">
                  <c:v>46028</c:v>
                </c:pt>
                <c:pt idx="190">
                  <c:v>46029</c:v>
                </c:pt>
                <c:pt idx="191">
                  <c:v>46030</c:v>
                </c:pt>
                <c:pt idx="192">
                  <c:v>46031</c:v>
                </c:pt>
                <c:pt idx="193">
                  <c:v>46032</c:v>
                </c:pt>
                <c:pt idx="194">
                  <c:v>46033</c:v>
                </c:pt>
                <c:pt idx="195">
                  <c:v>46034</c:v>
                </c:pt>
                <c:pt idx="196">
                  <c:v>46035</c:v>
                </c:pt>
                <c:pt idx="197">
                  <c:v>46036</c:v>
                </c:pt>
                <c:pt idx="198">
                  <c:v>46037</c:v>
                </c:pt>
                <c:pt idx="199">
                  <c:v>46038</c:v>
                </c:pt>
                <c:pt idx="200">
                  <c:v>46039</c:v>
                </c:pt>
                <c:pt idx="201">
                  <c:v>46040</c:v>
                </c:pt>
                <c:pt idx="202">
                  <c:v>46041</c:v>
                </c:pt>
                <c:pt idx="203">
                  <c:v>46042</c:v>
                </c:pt>
                <c:pt idx="204">
                  <c:v>46043</c:v>
                </c:pt>
                <c:pt idx="205">
                  <c:v>46044</c:v>
                </c:pt>
                <c:pt idx="206">
                  <c:v>46045</c:v>
                </c:pt>
                <c:pt idx="207">
                  <c:v>46046</c:v>
                </c:pt>
                <c:pt idx="208">
                  <c:v>46047</c:v>
                </c:pt>
                <c:pt idx="209">
                  <c:v>46048</c:v>
                </c:pt>
                <c:pt idx="210">
                  <c:v>46049</c:v>
                </c:pt>
                <c:pt idx="211">
                  <c:v>46050</c:v>
                </c:pt>
                <c:pt idx="212">
                  <c:v>46051</c:v>
                </c:pt>
                <c:pt idx="213">
                  <c:v>46052</c:v>
                </c:pt>
                <c:pt idx="214">
                  <c:v>46053</c:v>
                </c:pt>
                <c:pt idx="215">
                  <c:v>46054</c:v>
                </c:pt>
                <c:pt idx="216">
                  <c:v>46055</c:v>
                </c:pt>
                <c:pt idx="217">
                  <c:v>46056</c:v>
                </c:pt>
                <c:pt idx="218">
                  <c:v>46057</c:v>
                </c:pt>
                <c:pt idx="219">
                  <c:v>46058</c:v>
                </c:pt>
                <c:pt idx="220">
                  <c:v>46059</c:v>
                </c:pt>
                <c:pt idx="221">
                  <c:v>46060</c:v>
                </c:pt>
                <c:pt idx="222">
                  <c:v>46061</c:v>
                </c:pt>
                <c:pt idx="223">
                  <c:v>46062</c:v>
                </c:pt>
                <c:pt idx="224">
                  <c:v>46063</c:v>
                </c:pt>
                <c:pt idx="225">
                  <c:v>46064</c:v>
                </c:pt>
                <c:pt idx="226">
                  <c:v>46065</c:v>
                </c:pt>
                <c:pt idx="227">
                  <c:v>46066</c:v>
                </c:pt>
                <c:pt idx="228">
                  <c:v>46067</c:v>
                </c:pt>
                <c:pt idx="229">
                  <c:v>46068</c:v>
                </c:pt>
                <c:pt idx="230">
                  <c:v>46069</c:v>
                </c:pt>
                <c:pt idx="231">
                  <c:v>46070</c:v>
                </c:pt>
                <c:pt idx="232">
                  <c:v>46071</c:v>
                </c:pt>
                <c:pt idx="233">
                  <c:v>46072</c:v>
                </c:pt>
                <c:pt idx="234">
                  <c:v>46073</c:v>
                </c:pt>
                <c:pt idx="235">
                  <c:v>46074</c:v>
                </c:pt>
                <c:pt idx="236">
                  <c:v>46075</c:v>
                </c:pt>
                <c:pt idx="237">
                  <c:v>46076</c:v>
                </c:pt>
                <c:pt idx="238">
                  <c:v>46077</c:v>
                </c:pt>
                <c:pt idx="239">
                  <c:v>46078</c:v>
                </c:pt>
                <c:pt idx="240">
                  <c:v>46079</c:v>
                </c:pt>
                <c:pt idx="241">
                  <c:v>46080</c:v>
                </c:pt>
                <c:pt idx="242">
                  <c:v>46081</c:v>
                </c:pt>
                <c:pt idx="243">
                  <c:v>46082</c:v>
                </c:pt>
                <c:pt idx="244">
                  <c:v>46083</c:v>
                </c:pt>
                <c:pt idx="245">
                  <c:v>46084</c:v>
                </c:pt>
                <c:pt idx="246">
                  <c:v>46085</c:v>
                </c:pt>
                <c:pt idx="247">
                  <c:v>46086</c:v>
                </c:pt>
                <c:pt idx="248">
                  <c:v>46087</c:v>
                </c:pt>
                <c:pt idx="249">
                  <c:v>46088</c:v>
                </c:pt>
                <c:pt idx="250">
                  <c:v>46089</c:v>
                </c:pt>
                <c:pt idx="251">
                  <c:v>46090</c:v>
                </c:pt>
                <c:pt idx="252">
                  <c:v>46091</c:v>
                </c:pt>
                <c:pt idx="253">
                  <c:v>46092</c:v>
                </c:pt>
                <c:pt idx="254">
                  <c:v>46093</c:v>
                </c:pt>
                <c:pt idx="255">
                  <c:v>46094</c:v>
                </c:pt>
                <c:pt idx="256">
                  <c:v>46095</c:v>
                </c:pt>
                <c:pt idx="257">
                  <c:v>46096</c:v>
                </c:pt>
                <c:pt idx="258">
                  <c:v>46097</c:v>
                </c:pt>
                <c:pt idx="259">
                  <c:v>46098</c:v>
                </c:pt>
                <c:pt idx="260">
                  <c:v>46099</c:v>
                </c:pt>
                <c:pt idx="261">
                  <c:v>46100</c:v>
                </c:pt>
                <c:pt idx="262">
                  <c:v>46101</c:v>
                </c:pt>
                <c:pt idx="263">
                  <c:v>46102</c:v>
                </c:pt>
                <c:pt idx="264">
                  <c:v>46103</c:v>
                </c:pt>
                <c:pt idx="265">
                  <c:v>46104</c:v>
                </c:pt>
                <c:pt idx="266">
                  <c:v>46105</c:v>
                </c:pt>
                <c:pt idx="267">
                  <c:v>46106</c:v>
                </c:pt>
                <c:pt idx="268">
                  <c:v>46107</c:v>
                </c:pt>
                <c:pt idx="269">
                  <c:v>46108</c:v>
                </c:pt>
                <c:pt idx="270">
                  <c:v>46109</c:v>
                </c:pt>
                <c:pt idx="271">
                  <c:v>46110</c:v>
                </c:pt>
                <c:pt idx="272">
                  <c:v>46111</c:v>
                </c:pt>
                <c:pt idx="273">
                  <c:v>46112</c:v>
                </c:pt>
                <c:pt idx="274">
                  <c:v>46113</c:v>
                </c:pt>
                <c:pt idx="275">
                  <c:v>46114</c:v>
                </c:pt>
                <c:pt idx="276">
                  <c:v>46115</c:v>
                </c:pt>
                <c:pt idx="277">
                  <c:v>46116</c:v>
                </c:pt>
                <c:pt idx="278">
                  <c:v>46117</c:v>
                </c:pt>
                <c:pt idx="279">
                  <c:v>46118</c:v>
                </c:pt>
                <c:pt idx="280">
                  <c:v>46119</c:v>
                </c:pt>
                <c:pt idx="281">
                  <c:v>46120</c:v>
                </c:pt>
                <c:pt idx="282">
                  <c:v>46121</c:v>
                </c:pt>
                <c:pt idx="283">
                  <c:v>46122</c:v>
                </c:pt>
                <c:pt idx="284">
                  <c:v>46123</c:v>
                </c:pt>
                <c:pt idx="285">
                  <c:v>46124</c:v>
                </c:pt>
                <c:pt idx="286">
                  <c:v>46125</c:v>
                </c:pt>
                <c:pt idx="287">
                  <c:v>46126</c:v>
                </c:pt>
                <c:pt idx="288">
                  <c:v>46127</c:v>
                </c:pt>
                <c:pt idx="289">
                  <c:v>46128</c:v>
                </c:pt>
                <c:pt idx="290">
                  <c:v>46129</c:v>
                </c:pt>
                <c:pt idx="291">
                  <c:v>46130</c:v>
                </c:pt>
                <c:pt idx="292">
                  <c:v>46131</c:v>
                </c:pt>
                <c:pt idx="293">
                  <c:v>46132</c:v>
                </c:pt>
                <c:pt idx="294">
                  <c:v>46133</c:v>
                </c:pt>
                <c:pt idx="295">
                  <c:v>46134</c:v>
                </c:pt>
                <c:pt idx="296">
                  <c:v>46135</c:v>
                </c:pt>
                <c:pt idx="297">
                  <c:v>46136</c:v>
                </c:pt>
                <c:pt idx="298">
                  <c:v>46137</c:v>
                </c:pt>
                <c:pt idx="299">
                  <c:v>46138</c:v>
                </c:pt>
                <c:pt idx="300">
                  <c:v>46139</c:v>
                </c:pt>
                <c:pt idx="301">
                  <c:v>46140</c:v>
                </c:pt>
                <c:pt idx="302">
                  <c:v>46141</c:v>
                </c:pt>
                <c:pt idx="303">
                  <c:v>46142</c:v>
                </c:pt>
                <c:pt idx="304">
                  <c:v>46143</c:v>
                </c:pt>
                <c:pt idx="305">
                  <c:v>46144</c:v>
                </c:pt>
                <c:pt idx="306">
                  <c:v>46145</c:v>
                </c:pt>
                <c:pt idx="307">
                  <c:v>46146</c:v>
                </c:pt>
                <c:pt idx="308">
                  <c:v>46147</c:v>
                </c:pt>
                <c:pt idx="309">
                  <c:v>46148</c:v>
                </c:pt>
                <c:pt idx="310">
                  <c:v>46149</c:v>
                </c:pt>
                <c:pt idx="311">
                  <c:v>46150</c:v>
                </c:pt>
                <c:pt idx="312">
                  <c:v>46151</c:v>
                </c:pt>
                <c:pt idx="313">
                  <c:v>46152</c:v>
                </c:pt>
                <c:pt idx="314">
                  <c:v>46153</c:v>
                </c:pt>
                <c:pt idx="315">
                  <c:v>46154</c:v>
                </c:pt>
                <c:pt idx="316">
                  <c:v>46155</c:v>
                </c:pt>
                <c:pt idx="317">
                  <c:v>46156</c:v>
                </c:pt>
                <c:pt idx="318">
                  <c:v>46157</c:v>
                </c:pt>
                <c:pt idx="319">
                  <c:v>46158</c:v>
                </c:pt>
                <c:pt idx="320">
                  <c:v>46159</c:v>
                </c:pt>
                <c:pt idx="321">
                  <c:v>46160</c:v>
                </c:pt>
                <c:pt idx="322">
                  <c:v>46161</c:v>
                </c:pt>
                <c:pt idx="323">
                  <c:v>46162</c:v>
                </c:pt>
                <c:pt idx="324">
                  <c:v>46163</c:v>
                </c:pt>
                <c:pt idx="325">
                  <c:v>46164</c:v>
                </c:pt>
                <c:pt idx="326">
                  <c:v>46165</c:v>
                </c:pt>
                <c:pt idx="327">
                  <c:v>46166</c:v>
                </c:pt>
                <c:pt idx="328">
                  <c:v>46167</c:v>
                </c:pt>
                <c:pt idx="329">
                  <c:v>46168</c:v>
                </c:pt>
                <c:pt idx="330">
                  <c:v>46169</c:v>
                </c:pt>
                <c:pt idx="331">
                  <c:v>46170</c:v>
                </c:pt>
                <c:pt idx="332">
                  <c:v>46171</c:v>
                </c:pt>
                <c:pt idx="333">
                  <c:v>46172</c:v>
                </c:pt>
                <c:pt idx="334">
                  <c:v>46173</c:v>
                </c:pt>
                <c:pt idx="335">
                  <c:v>46174</c:v>
                </c:pt>
                <c:pt idx="336">
                  <c:v>46175</c:v>
                </c:pt>
                <c:pt idx="337">
                  <c:v>46176</c:v>
                </c:pt>
                <c:pt idx="338">
                  <c:v>46177</c:v>
                </c:pt>
                <c:pt idx="339">
                  <c:v>46178</c:v>
                </c:pt>
                <c:pt idx="340">
                  <c:v>46179</c:v>
                </c:pt>
                <c:pt idx="341">
                  <c:v>46180</c:v>
                </c:pt>
                <c:pt idx="342">
                  <c:v>46181</c:v>
                </c:pt>
                <c:pt idx="343">
                  <c:v>46182</c:v>
                </c:pt>
                <c:pt idx="344">
                  <c:v>46183</c:v>
                </c:pt>
                <c:pt idx="345">
                  <c:v>46184</c:v>
                </c:pt>
                <c:pt idx="346">
                  <c:v>46185</c:v>
                </c:pt>
                <c:pt idx="347">
                  <c:v>46186</c:v>
                </c:pt>
                <c:pt idx="348">
                  <c:v>46187</c:v>
                </c:pt>
                <c:pt idx="349">
                  <c:v>46188</c:v>
                </c:pt>
                <c:pt idx="350">
                  <c:v>46189</c:v>
                </c:pt>
                <c:pt idx="351">
                  <c:v>46190</c:v>
                </c:pt>
                <c:pt idx="352">
                  <c:v>46191</c:v>
                </c:pt>
                <c:pt idx="353">
                  <c:v>46192</c:v>
                </c:pt>
                <c:pt idx="354">
                  <c:v>46193</c:v>
                </c:pt>
                <c:pt idx="355">
                  <c:v>46194</c:v>
                </c:pt>
                <c:pt idx="356">
                  <c:v>46195</c:v>
                </c:pt>
                <c:pt idx="357">
                  <c:v>46196</c:v>
                </c:pt>
                <c:pt idx="358">
                  <c:v>46197</c:v>
                </c:pt>
                <c:pt idx="359">
                  <c:v>46198</c:v>
                </c:pt>
                <c:pt idx="360">
                  <c:v>46199</c:v>
                </c:pt>
                <c:pt idx="361">
                  <c:v>46200</c:v>
                </c:pt>
                <c:pt idx="362">
                  <c:v>46201</c:v>
                </c:pt>
                <c:pt idx="363">
                  <c:v>46202</c:v>
                </c:pt>
                <c:pt idx="364">
                  <c:v>46203</c:v>
                </c:pt>
                <c:pt idx="365">
                  <c:v>46204</c:v>
                </c:pt>
              </c:numCache>
            </c:numRef>
          </c:cat>
          <c:val>
            <c:numRef>
              <c:f>DATOS!$D$2:$D$394</c:f>
              <c:numCache>
                <c:formatCode>0.0</c:formatCode>
                <c:ptCount val="393"/>
                <c:pt idx="0">
                  <c:v>3.4</c:v>
                </c:pt>
                <c:pt idx="1">
                  <c:v>4.9000000000000004</c:v>
                </c:pt>
                <c:pt idx="2">
                  <c:v>7.6999999999999993</c:v>
                </c:pt>
                <c:pt idx="3">
                  <c:v>8.1</c:v>
                </c:pt>
                <c:pt idx="4">
                  <c:v>7.8</c:v>
                </c:pt>
                <c:pt idx="5">
                  <c:v>14.8</c:v>
                </c:pt>
                <c:pt idx="6">
                  <c:v>13.9</c:v>
                </c:pt>
                <c:pt idx="7">
                  <c:v>14.5</c:v>
                </c:pt>
                <c:pt idx="8">
                  <c:v>17.600000000000001</c:v>
                </c:pt>
                <c:pt idx="9">
                  <c:v>11.05</c:v>
                </c:pt>
                <c:pt idx="10">
                  <c:v>10.4</c:v>
                </c:pt>
                <c:pt idx="11">
                  <c:v>13.55</c:v>
                </c:pt>
                <c:pt idx="12">
                  <c:v>12.1</c:v>
                </c:pt>
                <c:pt idx="13">
                  <c:v>15.299999999999999</c:v>
                </c:pt>
                <c:pt idx="14">
                  <c:v>17.600000000000001</c:v>
                </c:pt>
                <c:pt idx="15">
                  <c:v>10.35</c:v>
                </c:pt>
                <c:pt idx="16">
                  <c:v>9.3999999999999986</c:v>
                </c:pt>
                <c:pt idx="17">
                  <c:v>12.200000000000001</c:v>
                </c:pt>
                <c:pt idx="18">
                  <c:v>12.649999999999999</c:v>
                </c:pt>
                <c:pt idx="19">
                  <c:v>12.55</c:v>
                </c:pt>
                <c:pt idx="20">
                  <c:v>11.8</c:v>
                </c:pt>
                <c:pt idx="21">
                  <c:v>10.1</c:v>
                </c:pt>
                <c:pt idx="22">
                  <c:v>9.8000000000000007</c:v>
                </c:pt>
                <c:pt idx="23">
                  <c:v>10.55</c:v>
                </c:pt>
                <c:pt idx="24">
                  <c:v>11.3</c:v>
                </c:pt>
                <c:pt idx="25">
                  <c:v>9.0500000000000007</c:v>
                </c:pt>
                <c:pt idx="26">
                  <c:v>7.3500000000000005</c:v>
                </c:pt>
                <c:pt idx="27">
                  <c:v>8.5500000000000007</c:v>
                </c:pt>
                <c:pt idx="28">
                  <c:v>10.45</c:v>
                </c:pt>
                <c:pt idx="29">
                  <c:v>14.05</c:v>
                </c:pt>
                <c:pt idx="30">
                  <c:v>16.8</c:v>
                </c:pt>
                <c:pt idx="31">
                  <c:v>16</c:v>
                </c:pt>
                <c:pt idx="32">
                  <c:v>13.149999999999999</c:v>
                </c:pt>
                <c:pt idx="33">
                  <c:v>11.45</c:v>
                </c:pt>
                <c:pt idx="34">
                  <c:v>10.1</c:v>
                </c:pt>
                <c:pt idx="35">
                  <c:v>10.7</c:v>
                </c:pt>
                <c:pt idx="36">
                  <c:v>11.55</c:v>
                </c:pt>
                <c:pt idx="37">
                  <c:v>9.9499999999999993</c:v>
                </c:pt>
                <c:pt idx="38">
                  <c:v>8</c:v>
                </c:pt>
                <c:pt idx="39">
                  <c:v>9.5</c:v>
                </c:pt>
                <c:pt idx="40">
                  <c:v>10.600000000000001</c:v>
                </c:pt>
                <c:pt idx="41">
                  <c:v>13.4</c:v>
                </c:pt>
                <c:pt idx="42">
                  <c:v>15.25</c:v>
                </c:pt>
                <c:pt idx="43">
                  <c:v>11.7</c:v>
                </c:pt>
                <c:pt idx="44">
                  <c:v>9.3500000000000014</c:v>
                </c:pt>
                <c:pt idx="45">
                  <c:v>9.4</c:v>
                </c:pt>
                <c:pt idx="46">
                  <c:v>11</c:v>
                </c:pt>
                <c:pt idx="47">
                  <c:v>10.85</c:v>
                </c:pt>
                <c:pt idx="48">
                  <c:v>12.2</c:v>
                </c:pt>
                <c:pt idx="49">
                  <c:v>11.65</c:v>
                </c:pt>
                <c:pt idx="50">
                  <c:v>14.8</c:v>
                </c:pt>
                <c:pt idx="51">
                  <c:v>14.85</c:v>
                </c:pt>
                <c:pt idx="52">
                  <c:v>13.05</c:v>
                </c:pt>
                <c:pt idx="53">
                  <c:v>9.25</c:v>
                </c:pt>
                <c:pt idx="54">
                  <c:v>11.9</c:v>
                </c:pt>
                <c:pt idx="55">
                  <c:v>13.049999999999999</c:v>
                </c:pt>
                <c:pt idx="56">
                  <c:v>14.3</c:v>
                </c:pt>
                <c:pt idx="57">
                  <c:v>15.75</c:v>
                </c:pt>
                <c:pt idx="58">
                  <c:v>16.2</c:v>
                </c:pt>
                <c:pt idx="59">
                  <c:v>19.05</c:v>
                </c:pt>
                <c:pt idx="60">
                  <c:v>16</c:v>
                </c:pt>
                <c:pt idx="61">
                  <c:v>10.95</c:v>
                </c:pt>
                <c:pt idx="62">
                  <c:v>12.25</c:v>
                </c:pt>
                <c:pt idx="63">
                  <c:v>13.8</c:v>
                </c:pt>
                <c:pt idx="64">
                  <c:v>12.35</c:v>
                </c:pt>
                <c:pt idx="65">
                  <c:v>8.85</c:v>
                </c:pt>
                <c:pt idx="66">
                  <c:v>7.6499999999999995</c:v>
                </c:pt>
                <c:pt idx="67">
                  <c:v>9.85</c:v>
                </c:pt>
                <c:pt idx="68">
                  <c:v>11.25</c:v>
                </c:pt>
                <c:pt idx="69">
                  <c:v>13</c:v>
                </c:pt>
                <c:pt idx="70">
                  <c:v>13.6</c:v>
                </c:pt>
                <c:pt idx="71">
                  <c:v>17.850000000000001</c:v>
                </c:pt>
                <c:pt idx="72">
                  <c:v>15.1</c:v>
                </c:pt>
                <c:pt idx="73">
                  <c:v>15.850000000000001</c:v>
                </c:pt>
                <c:pt idx="74">
                  <c:v>17.7</c:v>
                </c:pt>
                <c:pt idx="75">
                  <c:v>16.75</c:v>
                </c:pt>
                <c:pt idx="76">
                  <c:v>18.5</c:v>
                </c:pt>
                <c:pt idx="77">
                  <c:v>19.95</c:v>
                </c:pt>
                <c:pt idx="78">
                  <c:v>20.3</c:v>
                </c:pt>
                <c:pt idx="79">
                  <c:v>21.8</c:v>
                </c:pt>
                <c:pt idx="80">
                  <c:v>21.95</c:v>
                </c:pt>
                <c:pt idx="81">
                  <c:v>19.25</c:v>
                </c:pt>
                <c:pt idx="82">
                  <c:v>15.65</c:v>
                </c:pt>
                <c:pt idx="83">
                  <c:v>15.05</c:v>
                </c:pt>
                <c:pt idx="84">
                  <c:v>14.85</c:v>
                </c:pt>
                <c:pt idx="85">
                  <c:v>16.5</c:v>
                </c:pt>
                <c:pt idx="86">
                  <c:v>17.8</c:v>
                </c:pt>
                <c:pt idx="87">
                  <c:v>17.899999999999999</c:v>
                </c:pt>
                <c:pt idx="88">
                  <c:v>15.950000000000001</c:v>
                </c:pt>
                <c:pt idx="89">
                  <c:v>15.3</c:v>
                </c:pt>
                <c:pt idx="90">
                  <c:v>17.649999999999999</c:v>
                </c:pt>
                <c:pt idx="91">
                  <c:v>17</c:v>
                </c:pt>
                <c:pt idx="92">
                  <c:v>17.05</c:v>
                </c:pt>
                <c:pt idx="93">
                  <c:v>18.75</c:v>
                </c:pt>
                <c:pt idx="94">
                  <c:v>21.7</c:v>
                </c:pt>
                <c:pt idx="95">
                  <c:v>25.5</c:v>
                </c:pt>
                <c:pt idx="96">
                  <c:v>16.05</c:v>
                </c:pt>
                <c:pt idx="97">
                  <c:v>13.25</c:v>
                </c:pt>
                <c:pt idx="98">
                  <c:v>16.25</c:v>
                </c:pt>
                <c:pt idx="99">
                  <c:v>18.5</c:v>
                </c:pt>
                <c:pt idx="100">
                  <c:v>20.6</c:v>
                </c:pt>
                <c:pt idx="101">
                  <c:v>22.549999999999997</c:v>
                </c:pt>
                <c:pt idx="102">
                  <c:v>21.05</c:v>
                </c:pt>
                <c:pt idx="103">
                  <c:v>17.55</c:v>
                </c:pt>
                <c:pt idx="104">
                  <c:v>19.100000000000001</c:v>
                </c:pt>
                <c:pt idx="105">
                  <c:v>21.049999999999997</c:v>
                </c:pt>
                <c:pt idx="106">
                  <c:v>22.9</c:v>
                </c:pt>
                <c:pt idx="107">
                  <c:v>22.3</c:v>
                </c:pt>
                <c:pt idx="108">
                  <c:v>15.75</c:v>
                </c:pt>
                <c:pt idx="109">
                  <c:v>16.399999999999999</c:v>
                </c:pt>
                <c:pt idx="110">
                  <c:v>18.7</c:v>
                </c:pt>
                <c:pt idx="111">
                  <c:v>19.7</c:v>
                </c:pt>
                <c:pt idx="112">
                  <c:v>22.9</c:v>
                </c:pt>
                <c:pt idx="113">
                  <c:v>22.7</c:v>
                </c:pt>
                <c:pt idx="114">
                  <c:v>25.4</c:v>
                </c:pt>
                <c:pt idx="115">
                  <c:v>21.05</c:v>
                </c:pt>
                <c:pt idx="116">
                  <c:v>16.100000000000001</c:v>
                </c:pt>
                <c:pt idx="117">
                  <c:v>17.05</c:v>
                </c:pt>
                <c:pt idx="118">
                  <c:v>11.35</c:v>
                </c:pt>
                <c:pt idx="119">
                  <c:v>10.6</c:v>
                </c:pt>
                <c:pt idx="120">
                  <c:v>11.9</c:v>
                </c:pt>
                <c:pt idx="121">
                  <c:v>15.95</c:v>
                </c:pt>
                <c:pt idx="122">
                  <c:v>18.8</c:v>
                </c:pt>
                <c:pt idx="123">
                  <c:v>19.350000000000001</c:v>
                </c:pt>
                <c:pt idx="124">
                  <c:v>20.8</c:v>
                </c:pt>
                <c:pt idx="125">
                  <c:v>22</c:v>
                </c:pt>
                <c:pt idx="126">
                  <c:v>20.549999999999997</c:v>
                </c:pt>
                <c:pt idx="127">
                  <c:v>18.350000000000001</c:v>
                </c:pt>
                <c:pt idx="128">
                  <c:v>17.600000000000001</c:v>
                </c:pt>
                <c:pt idx="129">
                  <c:v>13.65</c:v>
                </c:pt>
                <c:pt idx="130">
                  <c:v>14</c:v>
                </c:pt>
                <c:pt idx="131">
                  <c:v>17</c:v>
                </c:pt>
                <c:pt idx="132">
                  <c:v>19.399999999999999</c:v>
                </c:pt>
                <c:pt idx="133">
                  <c:v>22.4</c:v>
                </c:pt>
                <c:pt idx="134">
                  <c:v>18.95</c:v>
                </c:pt>
                <c:pt idx="135">
                  <c:v>20.200000000000003</c:v>
                </c:pt>
                <c:pt idx="136">
                  <c:v>23.35</c:v>
                </c:pt>
                <c:pt idx="137">
                  <c:v>24.75</c:v>
                </c:pt>
                <c:pt idx="138">
                  <c:v>19.600000000000001</c:v>
                </c:pt>
                <c:pt idx="139">
                  <c:v>18.05</c:v>
                </c:pt>
                <c:pt idx="140">
                  <c:v>23</c:v>
                </c:pt>
                <c:pt idx="141">
                  <c:v>21.85</c:v>
                </c:pt>
                <c:pt idx="142">
                  <c:v>24.75</c:v>
                </c:pt>
                <c:pt idx="143">
                  <c:v>19.2</c:v>
                </c:pt>
                <c:pt idx="144">
                  <c:v>17.75</c:v>
                </c:pt>
                <c:pt idx="145">
                  <c:v>19.850000000000001</c:v>
                </c:pt>
                <c:pt idx="146">
                  <c:v>22.8</c:v>
                </c:pt>
                <c:pt idx="147">
                  <c:v>25.6</c:v>
                </c:pt>
                <c:pt idx="148">
                  <c:v>26.15</c:v>
                </c:pt>
                <c:pt idx="149">
                  <c:v>25.85</c:v>
                </c:pt>
                <c:pt idx="150">
                  <c:v>25.200000000000003</c:v>
                </c:pt>
                <c:pt idx="151">
                  <c:v>23.4</c:v>
                </c:pt>
                <c:pt idx="152">
                  <c:v>19.549999999999997</c:v>
                </c:pt>
                <c:pt idx="153">
                  <c:v>20.9</c:v>
                </c:pt>
                <c:pt idx="154">
                  <c:v>21.55</c:v>
                </c:pt>
                <c:pt idx="155">
                  <c:v>23.55</c:v>
                </c:pt>
                <c:pt idx="156">
                  <c:v>26.85</c:v>
                </c:pt>
                <c:pt idx="157">
                  <c:v>27.75</c:v>
                </c:pt>
                <c:pt idx="158">
                  <c:v>25.25</c:v>
                </c:pt>
                <c:pt idx="159">
                  <c:v>21.85</c:v>
                </c:pt>
                <c:pt idx="160">
                  <c:v>21.6</c:v>
                </c:pt>
                <c:pt idx="161">
                  <c:v>21.25</c:v>
                </c:pt>
                <c:pt idx="162">
                  <c:v>24.8</c:v>
                </c:pt>
                <c:pt idx="163">
                  <c:v>24.049999999999997</c:v>
                </c:pt>
                <c:pt idx="164">
                  <c:v>25.35</c:v>
                </c:pt>
                <c:pt idx="165">
                  <c:v>29.200000000000003</c:v>
                </c:pt>
                <c:pt idx="166">
                  <c:v>19</c:v>
                </c:pt>
                <c:pt idx="167">
                  <c:v>19</c:v>
                </c:pt>
                <c:pt idx="168">
                  <c:v>21.3</c:v>
                </c:pt>
                <c:pt idx="169">
                  <c:v>25.55</c:v>
                </c:pt>
                <c:pt idx="170">
                  <c:v>27.349999999999998</c:v>
                </c:pt>
                <c:pt idx="171">
                  <c:v>27.450000000000003</c:v>
                </c:pt>
                <c:pt idx="172">
                  <c:v>25.4</c:v>
                </c:pt>
                <c:pt idx="173">
                  <c:v>24.45</c:v>
                </c:pt>
                <c:pt idx="174">
                  <c:v>25.05</c:v>
                </c:pt>
                <c:pt idx="175">
                  <c:v>26.450000000000003</c:v>
                </c:pt>
                <c:pt idx="176">
                  <c:v>25.85</c:v>
                </c:pt>
                <c:pt idx="177">
                  <c:v>24.7</c:v>
                </c:pt>
                <c:pt idx="178">
                  <c:v>25.6</c:v>
                </c:pt>
                <c:pt idx="179">
                  <c:v>27.549999999999997</c:v>
                </c:pt>
                <c:pt idx="180">
                  <c:v>25.549999999999997</c:v>
                </c:pt>
                <c:pt idx="181">
                  <c:v>26.5</c:v>
                </c:pt>
                <c:pt idx="182">
                  <c:v>29.5</c:v>
                </c:pt>
                <c:pt idx="183">
                  <c:v>30.85</c:v>
                </c:pt>
                <c:pt idx="184">
                  <c:v>28.9</c:v>
                </c:pt>
                <c:pt idx="185">
                  <c:v>25.25</c:v>
                </c:pt>
                <c:pt idx="186">
                  <c:v>21.8</c:v>
                </c:pt>
                <c:pt idx="187">
                  <c:v>21.65</c:v>
                </c:pt>
                <c:pt idx="188">
                  <c:v>24.849999999999998</c:v>
                </c:pt>
                <c:pt idx="189">
                  <c:v>25.8</c:v>
                </c:pt>
                <c:pt idx="190">
                  <c:v>23.4</c:v>
                </c:pt>
                <c:pt idx="191">
                  <c:v>19</c:v>
                </c:pt>
                <c:pt idx="192">
                  <c:v>20.45</c:v>
                </c:pt>
                <c:pt idx="193">
                  <c:v>22.85</c:v>
                </c:pt>
                <c:pt idx="194">
                  <c:v>26.549999999999997</c:v>
                </c:pt>
                <c:pt idx="195">
                  <c:v>28.95</c:v>
                </c:pt>
                <c:pt idx="196">
                  <c:v>26.6</c:v>
                </c:pt>
                <c:pt idx="197">
                  <c:v>27.8</c:v>
                </c:pt>
                <c:pt idx="198">
                  <c:v>25.9</c:v>
                </c:pt>
                <c:pt idx="199">
                  <c:v>25.55</c:v>
                </c:pt>
                <c:pt idx="200">
                  <c:v>28.400000000000002</c:v>
                </c:pt>
                <c:pt idx="201">
                  <c:v>23.35</c:v>
                </c:pt>
                <c:pt idx="202">
                  <c:v>21.049999999999997</c:v>
                </c:pt>
                <c:pt idx="203">
                  <c:v>23.5</c:v>
                </c:pt>
                <c:pt idx="204">
                  <c:v>26</c:v>
                </c:pt>
                <c:pt idx="205">
                  <c:v>27.9</c:v>
                </c:pt>
                <c:pt idx="206">
                  <c:v>28.3</c:v>
                </c:pt>
                <c:pt idx="207">
                  <c:v>28.1</c:v>
                </c:pt>
                <c:pt idx="208">
                  <c:v>28.75</c:v>
                </c:pt>
                <c:pt idx="209">
                  <c:v>23.3</c:v>
                </c:pt>
                <c:pt idx="210">
                  <c:v>23.7</c:v>
                </c:pt>
                <c:pt idx="211">
                  <c:v>26.35</c:v>
                </c:pt>
                <c:pt idx="212">
                  <c:v>25.9</c:v>
                </c:pt>
                <c:pt idx="213">
                  <c:v>25.7</c:v>
                </c:pt>
                <c:pt idx="214">
                  <c:v>25.950000000000003</c:v>
                </c:pt>
                <c:pt idx="215">
                  <c:v>25.85</c:v>
                </c:pt>
                <c:pt idx="216">
                  <c:v>25.450000000000003</c:v>
                </c:pt>
                <c:pt idx="217">
                  <c:v>25.799999999999997</c:v>
                </c:pt>
                <c:pt idx="218">
                  <c:v>22.85</c:v>
                </c:pt>
                <c:pt idx="219">
                  <c:v>22.15</c:v>
                </c:pt>
                <c:pt idx="220">
                  <c:v>23</c:v>
                </c:pt>
                <c:pt idx="221">
                  <c:v>22.5</c:v>
                </c:pt>
                <c:pt idx="222">
                  <c:v>24.05</c:v>
                </c:pt>
                <c:pt idx="223">
                  <c:v>24.1</c:v>
                </c:pt>
                <c:pt idx="224">
                  <c:v>23.2</c:v>
                </c:pt>
                <c:pt idx="225">
                  <c:v>22.1</c:v>
                </c:pt>
                <c:pt idx="226">
                  <c:v>21.4</c:v>
                </c:pt>
                <c:pt idx="227">
                  <c:v>21.15</c:v>
                </c:pt>
                <c:pt idx="228">
                  <c:v>25.4</c:v>
                </c:pt>
                <c:pt idx="229">
                  <c:v>22.1</c:v>
                </c:pt>
                <c:pt idx="230">
                  <c:v>20.95</c:v>
                </c:pt>
                <c:pt idx="231">
                  <c:v>25</c:v>
                </c:pt>
                <c:pt idx="232">
                  <c:v>27.1</c:v>
                </c:pt>
                <c:pt idx="233">
                  <c:v>23.25</c:v>
                </c:pt>
                <c:pt idx="234">
                  <c:v>21.3</c:v>
                </c:pt>
                <c:pt idx="235">
                  <c:v>21.65</c:v>
                </c:pt>
                <c:pt idx="236">
                  <c:v>22.95</c:v>
                </c:pt>
                <c:pt idx="237">
                  <c:v>22.7</c:v>
                </c:pt>
                <c:pt idx="238">
                  <c:v>23.3</c:v>
                </c:pt>
                <c:pt idx="239">
                  <c:v>17.8</c:v>
                </c:pt>
                <c:pt idx="240">
                  <c:v>18.850000000000001</c:v>
                </c:pt>
                <c:pt idx="241">
                  <c:v>20.149999999999999</c:v>
                </c:pt>
                <c:pt idx="242">
                  <c:v>22.85</c:v>
                </c:pt>
                <c:pt idx="243">
                  <c:v>23.799999999999997</c:v>
                </c:pt>
                <c:pt idx="244">
                  <c:v>24.85</c:v>
                </c:pt>
                <c:pt idx="245">
                  <c:v>20.100000000000001</c:v>
                </c:pt>
                <c:pt idx="246">
                  <c:v>21.55</c:v>
                </c:pt>
                <c:pt idx="247">
                  <c:v>21.25</c:v>
                </c:pt>
                <c:pt idx="248">
                  <c:v>20.9</c:v>
                </c:pt>
                <c:pt idx="249">
                  <c:v>21.25</c:v>
                </c:pt>
                <c:pt idx="250">
                  <c:v>19.899999999999999</c:v>
                </c:pt>
                <c:pt idx="251">
                  <c:v>20.75</c:v>
                </c:pt>
                <c:pt idx="252">
                  <c:v>21.15</c:v>
                </c:pt>
                <c:pt idx="253">
                  <c:v>21.15</c:v>
                </c:pt>
                <c:pt idx="254">
                  <c:v>21.1</c:v>
                </c:pt>
                <c:pt idx="255">
                  <c:v>21.75</c:v>
                </c:pt>
                <c:pt idx="256">
                  <c:v>22.15</c:v>
                </c:pt>
                <c:pt idx="257">
                  <c:v>22.65</c:v>
                </c:pt>
                <c:pt idx="258">
                  <c:v>23.700000000000003</c:v>
                </c:pt>
                <c:pt idx="259">
                  <c:v>20</c:v>
                </c:pt>
                <c:pt idx="260">
                  <c:v>18.850000000000001</c:v>
                </c:pt>
                <c:pt idx="261">
                  <c:v>22.25</c:v>
                </c:pt>
                <c:pt idx="262">
                  <c:v>22.299999999999997</c:v>
                </c:pt>
                <c:pt idx="263">
                  <c:v>16.55</c:v>
                </c:pt>
                <c:pt idx="264">
                  <c:v>16.100000000000001</c:v>
                </c:pt>
                <c:pt idx="265">
                  <c:v>16.5</c:v>
                </c:pt>
                <c:pt idx="266">
                  <c:v>17.7</c:v>
                </c:pt>
                <c:pt idx="267">
                  <c:v>18.149999999999999</c:v>
                </c:pt>
                <c:pt idx="268">
                  <c:v>18.899999999999999</c:v>
                </c:pt>
                <c:pt idx="269">
                  <c:v>20.3</c:v>
                </c:pt>
                <c:pt idx="270">
                  <c:v>24.35</c:v>
                </c:pt>
                <c:pt idx="271">
                  <c:v>27.049999999999997</c:v>
                </c:pt>
                <c:pt idx="272">
                  <c:v>27.4</c:v>
                </c:pt>
                <c:pt idx="273">
                  <c:v>28.299999999999997</c:v>
                </c:pt>
                <c:pt idx="274">
                  <c:v>24.9</c:v>
                </c:pt>
                <c:pt idx="275">
                  <c:v>23.3</c:v>
                </c:pt>
                <c:pt idx="276">
                  <c:v>23</c:v>
                </c:pt>
                <c:pt idx="277">
                  <c:v>17.05</c:v>
                </c:pt>
                <c:pt idx="278">
                  <c:v>14.700000000000001</c:v>
                </c:pt>
                <c:pt idx="279">
                  <c:v>14.05</c:v>
                </c:pt>
                <c:pt idx="280">
                  <c:v>16.149999999999999</c:v>
                </c:pt>
                <c:pt idx="281">
                  <c:v>15.2</c:v>
                </c:pt>
                <c:pt idx="282">
                  <c:v>15.25</c:v>
                </c:pt>
                <c:pt idx="283">
                  <c:v>17.350000000000001</c:v>
                </c:pt>
                <c:pt idx="284">
                  <c:v>17.95</c:v>
                </c:pt>
                <c:pt idx="285">
                  <c:v>19.25</c:v>
                </c:pt>
                <c:pt idx="286">
                  <c:v>20.149999999999999</c:v>
                </c:pt>
                <c:pt idx="287">
                  <c:v>19.899999999999999</c:v>
                </c:pt>
                <c:pt idx="288">
                  <c:v>20.85</c:v>
                </c:pt>
                <c:pt idx="289">
                  <c:v>20.549999999999997</c:v>
                </c:pt>
                <c:pt idx="290">
                  <c:v>20.55</c:v>
                </c:pt>
                <c:pt idx="291">
                  <c:v>21.15</c:v>
                </c:pt>
                <c:pt idx="292">
                  <c:v>18.05</c:v>
                </c:pt>
                <c:pt idx="293">
                  <c:v>14.100000000000001</c:v>
                </c:pt>
                <c:pt idx="294">
                  <c:v>14.55</c:v>
                </c:pt>
                <c:pt idx="295">
                  <c:v>12.85</c:v>
                </c:pt>
                <c:pt idx="296">
                  <c:v>14.600000000000001</c:v>
                </c:pt>
                <c:pt idx="297">
                  <c:v>18.25</c:v>
                </c:pt>
                <c:pt idx="298">
                  <c:v>15.450000000000001</c:v>
                </c:pt>
                <c:pt idx="299">
                  <c:v>12.3</c:v>
                </c:pt>
                <c:pt idx="300">
                  <c:v>9.25</c:v>
                </c:pt>
                <c:pt idx="301">
                  <c:v>15.649999999999999</c:v>
                </c:pt>
                <c:pt idx="302">
                  <c:v>17.350000000000001</c:v>
                </c:pt>
                <c:pt idx="303">
                  <c:v>16.55</c:v>
                </c:pt>
                <c:pt idx="304">
                  <c:v>17.95</c:v>
                </c:pt>
                <c:pt idx="305">
                  <c:v>12.6</c:v>
                </c:pt>
                <c:pt idx="306">
                  <c:v>12.3</c:v>
                </c:pt>
                <c:pt idx="307">
                  <c:v>14.35</c:v>
                </c:pt>
                <c:pt idx="308">
                  <c:v>18.100000000000001</c:v>
                </c:pt>
                <c:pt idx="309">
                  <c:v>23.9</c:v>
                </c:pt>
                <c:pt idx="310">
                  <c:v>15.1</c:v>
                </c:pt>
                <c:pt idx="311">
                  <c:v>11.05</c:v>
                </c:pt>
                <c:pt idx="312">
                  <c:v>8.5</c:v>
                </c:pt>
                <c:pt idx="313">
                  <c:v>10.25</c:v>
                </c:pt>
                <c:pt idx="314">
                  <c:v>12.200000000000001</c:v>
                </c:pt>
                <c:pt idx="315">
                  <c:v>14.5</c:v>
                </c:pt>
                <c:pt idx="316">
                  <c:v>12.75</c:v>
                </c:pt>
                <c:pt idx="317">
                  <c:v>14</c:v>
                </c:pt>
                <c:pt idx="318">
                  <c:v>13.1</c:v>
                </c:pt>
                <c:pt idx="319">
                  <c:v>10.9</c:v>
                </c:pt>
                <c:pt idx="320">
                  <c:v>8.8999999999999986</c:v>
                </c:pt>
                <c:pt idx="321">
                  <c:v>9.0500000000000007</c:v>
                </c:pt>
                <c:pt idx="322">
                  <c:v>10.450000000000001</c:v>
                </c:pt>
                <c:pt idx="323">
                  <c:v>11.149999999999999</c:v>
                </c:pt>
                <c:pt idx="324">
                  <c:v>9.6</c:v>
                </c:pt>
                <c:pt idx="325">
                  <c:v>8.5500000000000007</c:v>
                </c:pt>
                <c:pt idx="326">
                  <c:v>8.65</c:v>
                </c:pt>
                <c:pt idx="327">
                  <c:v>10.100000000000001</c:v>
                </c:pt>
                <c:pt idx="328">
                  <c:v>11.95</c:v>
                </c:pt>
                <c:pt idx="329">
                  <c:v>12</c:v>
                </c:pt>
                <c:pt idx="330">
                  <c:v>13</c:v>
                </c:pt>
                <c:pt idx="331">
                  <c:v>13.350000000000001</c:v>
                </c:pt>
                <c:pt idx="332">
                  <c:v>14.600000000000001</c:v>
                </c:pt>
                <c:pt idx="333">
                  <c:v>13.35</c:v>
                </c:pt>
                <c:pt idx="334">
                  <c:v>14.3</c:v>
                </c:pt>
                <c:pt idx="335">
                  <c:v>16.2</c:v>
                </c:pt>
                <c:pt idx="336">
                  <c:v>14.8</c:v>
                </c:pt>
                <c:pt idx="337">
                  <c:v>14.8</c:v>
                </c:pt>
                <c:pt idx="338">
                  <c:v>17.850000000000001</c:v>
                </c:pt>
                <c:pt idx="339">
                  <c:v>17.850000000000001</c:v>
                </c:pt>
                <c:pt idx="340">
                  <c:v>16.95</c:v>
                </c:pt>
                <c:pt idx="341">
                  <c:v>14.9</c:v>
                </c:pt>
                <c:pt idx="342">
                  <c:v>13.25</c:v>
                </c:pt>
                <c:pt idx="343">
                  <c:v>10.95</c:v>
                </c:pt>
                <c:pt idx="344">
                  <c:v>12.35</c:v>
                </c:pt>
                <c:pt idx="345">
                  <c:v>12.299999999999999</c:v>
                </c:pt>
                <c:pt idx="346">
                  <c:v>12.95</c:v>
                </c:pt>
                <c:pt idx="347">
                  <c:v>9.0500000000000007</c:v>
                </c:pt>
                <c:pt idx="348">
                  <c:v>6.3999999999999995</c:v>
                </c:pt>
                <c:pt idx="349">
                  <c:v>10.25</c:v>
                </c:pt>
                <c:pt idx="350">
                  <c:v>12.25</c:v>
                </c:pt>
                <c:pt idx="351">
                  <c:v>11.25</c:v>
                </c:pt>
                <c:pt idx="352">
                  <c:v>12.899999999999999</c:v>
                </c:pt>
                <c:pt idx="353">
                  <c:v>11.8</c:v>
                </c:pt>
                <c:pt idx="354">
                  <c:v>10.9</c:v>
                </c:pt>
                <c:pt idx="355">
                  <c:v>11.1</c:v>
                </c:pt>
                <c:pt idx="356">
                  <c:v>8.75</c:v>
                </c:pt>
                <c:pt idx="357">
                  <c:v>9.35</c:v>
                </c:pt>
                <c:pt idx="358">
                  <c:v>5.75</c:v>
                </c:pt>
                <c:pt idx="359">
                  <c:v>9.75</c:v>
                </c:pt>
                <c:pt idx="360">
                  <c:v>10.899999999999999</c:v>
                </c:pt>
                <c:pt idx="361">
                  <c:v>10.8</c:v>
                </c:pt>
                <c:pt idx="362">
                  <c:v>10</c:v>
                </c:pt>
                <c:pt idx="363">
                  <c:v>8.65</c:v>
                </c:pt>
                <c:pt idx="364">
                  <c:v>8.5</c:v>
                </c:pt>
                <c:pt idx="365">
                  <c:v>6.95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96D-48FE-8555-A72D76479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4920800"/>
        <c:axId val="914927456"/>
      </c:lineChart>
      <c:dateAx>
        <c:axId val="914920800"/>
        <c:scaling>
          <c:orientation val="minMax"/>
          <c:max val="46096"/>
          <c:min val="45931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14927456"/>
        <c:crosses val="autoZero"/>
        <c:auto val="1"/>
        <c:lblOffset val="100"/>
        <c:baseTimeUnit val="days"/>
      </c:dateAx>
      <c:valAx>
        <c:axId val="9149274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14920800"/>
        <c:crosses val="autoZero"/>
        <c:crossBetween val="between"/>
      </c:valAx>
      <c:valAx>
        <c:axId val="914930368"/>
        <c:scaling>
          <c:orientation val="minMax"/>
          <c:min val="0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14919552"/>
        <c:crosses val="max"/>
        <c:crossBetween val="between"/>
      </c:valAx>
      <c:dateAx>
        <c:axId val="914919552"/>
        <c:scaling>
          <c:orientation val="minMax"/>
        </c:scaling>
        <c:delete val="1"/>
        <c:axPos val="b"/>
        <c:numFmt formatCode="dd/mm/yyyy" sourceLinked="1"/>
        <c:majorTickMark val="out"/>
        <c:minorTickMark val="none"/>
        <c:tickLblPos val="nextTo"/>
        <c:crossAx val="91493036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242978</xdr:colOff>
      <xdr:row>7</xdr:row>
      <xdr:rowOff>93561</xdr:rowOff>
    </xdr:from>
    <xdr:to>
      <xdr:col>31</xdr:col>
      <xdr:colOff>594537</xdr:colOff>
      <xdr:row>33</xdr:row>
      <xdr:rowOff>94149</xdr:rowOff>
    </xdr:to>
    <xdr:graphicFrame macro="">
      <xdr:nvGraphicFramePr>
        <xdr:cNvPr id="8" name="GANT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538252</xdr:colOff>
      <xdr:row>5</xdr:row>
      <xdr:rowOff>143775</xdr:rowOff>
    </xdr:from>
    <xdr:to>
      <xdr:col>32</xdr:col>
      <xdr:colOff>204877</xdr:colOff>
      <xdr:row>35</xdr:row>
      <xdr:rowOff>112388</xdr:rowOff>
    </xdr:to>
    <xdr:graphicFrame macro="">
      <xdr:nvGraphicFramePr>
        <xdr:cNvPr id="2" name="CLIM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32</xdr:col>
      <xdr:colOff>266700</xdr:colOff>
      <xdr:row>4</xdr:row>
      <xdr:rowOff>180975</xdr:rowOff>
    </xdr:to>
    <xdr:sp macro="" textlink="">
      <xdr:nvSpPr>
        <xdr:cNvPr id="3" name="Franja verde"/>
        <xdr:cNvSpPr/>
      </xdr:nvSpPr>
      <xdr:spPr>
        <a:xfrm>
          <a:off x="0" y="0"/>
          <a:ext cx="25803225" cy="942975"/>
        </a:xfrm>
        <a:prstGeom prst="rect">
          <a:avLst/>
        </a:prstGeom>
        <a:solidFill>
          <a:schemeClr val="tx1"/>
        </a:solidFill>
        <a:ln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666749</xdr:colOff>
      <xdr:row>0</xdr:row>
      <xdr:rowOff>0</xdr:rowOff>
    </xdr:from>
    <xdr:to>
      <xdr:col>7</xdr:col>
      <xdr:colOff>1015401</xdr:colOff>
      <xdr:row>4</xdr:row>
      <xdr:rowOff>161926</xdr:rowOff>
    </xdr:to>
    <xdr:sp macro="" textlink="">
      <xdr:nvSpPr>
        <xdr:cNvPr id="4" name="Titulo"/>
        <xdr:cNvSpPr txBox="1"/>
      </xdr:nvSpPr>
      <xdr:spPr>
        <a:xfrm>
          <a:off x="855452" y="0"/>
          <a:ext cx="6045680" cy="916737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AR" sz="2400" b="1">
              <a:solidFill>
                <a:schemeClr val="bg1"/>
              </a:solidFill>
              <a:latin typeface="Arial Black" panose="020B0A04020102020204" pitchFamily="34" charset="0"/>
            </a:rPr>
            <a:t>Analizador</a:t>
          </a:r>
          <a:r>
            <a:rPr lang="es-AR" sz="2400" b="1" baseline="0">
              <a:solidFill>
                <a:schemeClr val="bg1"/>
              </a:solidFill>
              <a:latin typeface="Arial Black" panose="020B0A04020102020204" pitchFamily="34" charset="0"/>
            </a:rPr>
            <a:t> siembra de MAÍZ 25/26</a:t>
          </a:r>
          <a:endParaRPr lang="es-AR" sz="2400" b="1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0</xdr:col>
      <xdr:colOff>133350</xdr:colOff>
      <xdr:row>0</xdr:row>
      <xdr:rowOff>133350</xdr:rowOff>
    </xdr:from>
    <xdr:to>
      <xdr:col>1</xdr:col>
      <xdr:colOff>533400</xdr:colOff>
      <xdr:row>4</xdr:row>
      <xdr:rowOff>28575</xdr:rowOff>
    </xdr:to>
    <xdr:pic>
      <xdr:nvPicPr>
        <xdr:cNvPr id="6" name="Imagen Maiz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3931" b="11539"/>
        <a:stretch/>
      </xdr:blipFill>
      <xdr:spPr>
        <a:xfrm>
          <a:off x="133350" y="133350"/>
          <a:ext cx="590550" cy="657225"/>
        </a:xfrm>
        <a:prstGeom prst="rect">
          <a:avLst/>
        </a:prstGeom>
      </xdr:spPr>
    </xdr:pic>
    <xdr:clientData/>
  </xdr:twoCellAnchor>
  <xdr:twoCellAnchor>
    <xdr:from>
      <xdr:col>4</xdr:col>
      <xdr:colOff>157549</xdr:colOff>
      <xdr:row>7</xdr:row>
      <xdr:rowOff>188697</xdr:rowOff>
    </xdr:from>
    <xdr:to>
      <xdr:col>5</xdr:col>
      <xdr:colOff>200025</xdr:colOff>
      <xdr:row>9</xdr:row>
      <xdr:rowOff>190499</xdr:rowOff>
    </xdr:to>
    <xdr:sp macro="[0]!TraerClimaAData" textlink="">
      <xdr:nvSpPr>
        <xdr:cNvPr id="7" name="Boton Actualiza"/>
        <xdr:cNvSpPr/>
      </xdr:nvSpPr>
      <xdr:spPr>
        <a:xfrm>
          <a:off x="3681799" y="1522197"/>
          <a:ext cx="1128326" cy="382802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000" b="1"/>
            <a:t>ACTUALIZA</a:t>
          </a:r>
          <a:r>
            <a:rPr lang="es-AR" sz="1000" b="1" baseline="0"/>
            <a:t> </a:t>
          </a:r>
          <a:endParaRPr lang="es-AR" sz="1000" b="1"/>
        </a:p>
      </xdr:txBody>
    </xdr:sp>
    <xdr:clientData/>
  </xdr:twoCellAnchor>
  <xdr:twoCellAnchor>
    <xdr:from>
      <xdr:col>0</xdr:col>
      <xdr:colOff>0</xdr:colOff>
      <xdr:row>37</xdr:row>
      <xdr:rowOff>62901</xdr:rowOff>
    </xdr:from>
    <xdr:to>
      <xdr:col>32</xdr:col>
      <xdr:colOff>78896</xdr:colOff>
      <xdr:row>38</xdr:row>
      <xdr:rowOff>163542</xdr:rowOff>
    </xdr:to>
    <xdr:sp macro="" textlink="">
      <xdr:nvSpPr>
        <xdr:cNvPr id="10" name="Rectángulo 9"/>
        <xdr:cNvSpPr/>
      </xdr:nvSpPr>
      <xdr:spPr>
        <a:xfrm>
          <a:off x="0" y="6910118"/>
          <a:ext cx="25958141" cy="289344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103069</xdr:colOff>
      <xdr:row>37</xdr:row>
      <xdr:rowOff>67330</xdr:rowOff>
    </xdr:from>
    <xdr:to>
      <xdr:col>7</xdr:col>
      <xdr:colOff>1040561</xdr:colOff>
      <xdr:row>38</xdr:row>
      <xdr:rowOff>165086</xdr:rowOff>
    </xdr:to>
    <xdr:sp macro="" textlink="">
      <xdr:nvSpPr>
        <xdr:cNvPr id="11" name="CuadroTexto 10"/>
        <xdr:cNvSpPr txBox="1"/>
      </xdr:nvSpPr>
      <xdr:spPr>
        <a:xfrm>
          <a:off x="103069" y="6914547"/>
          <a:ext cx="6940039" cy="2864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AR" sz="1000" b="0" i="0">
              <a:solidFill>
                <a:schemeClr val="bg1"/>
              </a:solidFill>
            </a:rPr>
            <a:t>Desarrollado</a:t>
          </a:r>
          <a:r>
            <a:rPr lang="es-AR" sz="1000" b="0" i="0" baseline="0">
              <a:solidFill>
                <a:schemeClr val="bg1"/>
              </a:solidFill>
            </a:rPr>
            <a:t> por Nicolás Zárate | linkedin.com/in/nicolaszarate99 | github.com/nicolas-zarate</a:t>
          </a:r>
          <a:endParaRPr lang="es-AR" sz="1000" b="0" i="0">
            <a:solidFill>
              <a:schemeClr val="bg1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DatosExternos_1" connectionId="1" autoFormatId="0" applyNumberFormats="0" applyBorderFormats="0" applyFontFormats="1" applyPatternFormats="1" applyAlignmentFormats="0" applyWidthHeightFormats="0">
  <queryTableRefresh preserveSortFilterLayout="0" nextId="8" unboundColumnsRight="1">
    <queryTableFields count="5">
      <queryTableField id="1" name="FECHA" tableColumnId="13"/>
      <queryTableField id="2" name="Temp MAX" tableColumnId="14"/>
      <queryTableField id="3" name="Temp MIN" tableColumnId="15"/>
      <queryTableField id="4" name="Temp MEDIA" tableColumnId="16"/>
      <queryTableField id="7" dataBound="0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5" name="_2526_FULL" displayName="_2526_FULL" ref="A1:E394" tableType="queryTable" totalsRowShown="0" headerRowDxfId="5">
  <autoFilter ref="A1:E394"/>
  <tableColumns count="5">
    <tableColumn id="13" uniqueName="13" name="FECHA" queryTableFieldId="1" dataDxfId="4"/>
    <tableColumn id="14" uniqueName="14" name="Temp MAX" queryTableFieldId="2" dataDxfId="3"/>
    <tableColumn id="15" uniqueName="15" name="Temp MIN" queryTableFieldId="3" dataDxfId="2"/>
    <tableColumn id="16" uniqueName="16" name="Temp MEDIA" queryTableFieldId="4" dataDxfId="1"/>
    <tableColumn id="1" uniqueName="1" name="MM" queryTableFieldId="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J394"/>
  <sheetViews>
    <sheetView workbookViewId="0">
      <selection activeCell="B11" sqref="B11"/>
    </sheetView>
  </sheetViews>
  <sheetFormatPr baseColWidth="10" defaultRowHeight="15" x14ac:dyDescent="0.25"/>
  <cols>
    <col min="1" max="1" width="22" style="3" customWidth="1"/>
    <col min="2" max="2" width="13" bestFit="1" customWidth="1"/>
    <col min="3" max="3" width="12.5703125" bestFit="1" customWidth="1"/>
    <col min="4" max="4" width="14.7109375" bestFit="1" customWidth="1"/>
    <col min="5" max="5" width="12.7109375" customWidth="1"/>
    <col min="6" max="6" width="14.7109375" hidden="1" customWidth="1"/>
    <col min="7" max="8" width="14.7109375" customWidth="1"/>
    <col min="9" max="11" width="19.140625" customWidth="1"/>
  </cols>
  <sheetData>
    <row r="1" spans="1:10" x14ac:dyDescent="0.25">
      <c r="A1" s="5" t="s">
        <v>0</v>
      </c>
      <c r="B1" s="6" t="s">
        <v>1</v>
      </c>
      <c r="C1" s="6" t="s">
        <v>2</v>
      </c>
      <c r="D1" s="6" t="s">
        <v>3</v>
      </c>
      <c r="E1" s="7" t="s">
        <v>11</v>
      </c>
      <c r="F1" s="7"/>
      <c r="G1" s="9" t="s">
        <v>18</v>
      </c>
      <c r="H1" s="9" t="s">
        <v>15</v>
      </c>
      <c r="I1" s="9" t="s">
        <v>19</v>
      </c>
      <c r="J1" s="9" t="s">
        <v>20</v>
      </c>
    </row>
    <row r="2" spans="1:10" x14ac:dyDescent="0.25">
      <c r="A2" s="14">
        <v>45839</v>
      </c>
      <c r="B2" s="1">
        <v>9</v>
      </c>
      <c r="C2" s="1">
        <v>-2.2000000000000002</v>
      </c>
      <c r="D2" s="2">
        <v>3.4</v>
      </c>
      <c r="E2" s="2">
        <v>0</v>
      </c>
      <c r="F2" s="2"/>
      <c r="G2" s="10">
        <v>0</v>
      </c>
      <c r="H2" s="10">
        <v>0</v>
      </c>
      <c r="I2" s="10">
        <v>0</v>
      </c>
      <c r="J2" s="10">
        <v>0</v>
      </c>
    </row>
    <row r="3" spans="1:10" x14ac:dyDescent="0.25">
      <c r="A3" s="14">
        <v>45840</v>
      </c>
      <c r="B3" s="1">
        <v>10.5</v>
      </c>
      <c r="C3" s="1">
        <v>-0.7</v>
      </c>
      <c r="D3" s="2">
        <v>4.9000000000000004</v>
      </c>
      <c r="E3" s="2">
        <v>0</v>
      </c>
      <c r="F3" s="2"/>
      <c r="G3" s="11">
        <v>0</v>
      </c>
      <c r="H3" s="11">
        <v>0</v>
      </c>
      <c r="I3" s="11">
        <v>0</v>
      </c>
      <c r="J3" s="11">
        <v>0</v>
      </c>
    </row>
    <row r="4" spans="1:10" x14ac:dyDescent="0.25">
      <c r="A4" s="14">
        <v>45841</v>
      </c>
      <c r="B4" s="1">
        <v>13.1</v>
      </c>
      <c r="C4" s="1">
        <v>2.2999999999999998</v>
      </c>
      <c r="D4" s="2">
        <v>7.6999999999999993</v>
      </c>
      <c r="E4" s="2">
        <v>0</v>
      </c>
      <c r="F4" s="2"/>
      <c r="G4" s="10">
        <v>0</v>
      </c>
      <c r="H4" s="10">
        <v>0</v>
      </c>
      <c r="I4" s="10">
        <v>0</v>
      </c>
      <c r="J4" s="10">
        <v>0</v>
      </c>
    </row>
    <row r="5" spans="1:10" x14ac:dyDescent="0.25">
      <c r="A5" s="14">
        <v>45842</v>
      </c>
      <c r="B5" s="1">
        <v>14.1</v>
      </c>
      <c r="C5" s="1">
        <v>2.1</v>
      </c>
      <c r="D5" s="2">
        <v>8.1</v>
      </c>
      <c r="E5" s="2">
        <v>0</v>
      </c>
      <c r="F5" s="2"/>
      <c r="G5" s="11">
        <v>0</v>
      </c>
      <c r="H5" s="11">
        <v>0</v>
      </c>
      <c r="I5" s="11">
        <v>9.9999999999999645E-2</v>
      </c>
      <c r="J5" s="11">
        <v>9.9999999999999645E-2</v>
      </c>
    </row>
    <row r="6" spans="1:10" x14ac:dyDescent="0.25">
      <c r="A6" s="14">
        <v>45843</v>
      </c>
      <c r="B6" s="1">
        <v>14.7</v>
      </c>
      <c r="C6" s="1">
        <v>0.9</v>
      </c>
      <c r="D6" s="2">
        <v>7.8</v>
      </c>
      <c r="E6" s="2">
        <v>0</v>
      </c>
      <c r="F6" s="2"/>
      <c r="G6" s="10">
        <v>0</v>
      </c>
      <c r="H6" s="10">
        <v>0</v>
      </c>
      <c r="I6" s="10">
        <v>0</v>
      </c>
      <c r="J6" s="10">
        <v>9.9999999999999645E-2</v>
      </c>
    </row>
    <row r="7" spans="1:10" x14ac:dyDescent="0.25">
      <c r="A7" s="14">
        <v>45844</v>
      </c>
      <c r="B7" s="1">
        <v>19.600000000000001</v>
      </c>
      <c r="C7" s="1">
        <v>10</v>
      </c>
      <c r="D7" s="2">
        <v>14.8</v>
      </c>
      <c r="E7" s="2">
        <v>0.2</v>
      </c>
      <c r="F7" s="2"/>
      <c r="G7" s="11">
        <v>4.8000000000000007</v>
      </c>
      <c r="H7" s="11">
        <v>4.8000000000000007</v>
      </c>
      <c r="I7" s="11">
        <v>6.8000000000000007</v>
      </c>
      <c r="J7" s="11">
        <v>6.9</v>
      </c>
    </row>
    <row r="8" spans="1:10" x14ac:dyDescent="0.25">
      <c r="A8" s="14">
        <v>45845</v>
      </c>
      <c r="B8" s="1">
        <v>18.5</v>
      </c>
      <c r="C8" s="1">
        <v>9.3000000000000007</v>
      </c>
      <c r="D8" s="2">
        <v>13.9</v>
      </c>
      <c r="E8" s="2">
        <v>3.7</v>
      </c>
      <c r="F8" s="2"/>
      <c r="G8" s="10">
        <v>3.9000000000000004</v>
      </c>
      <c r="H8" s="10">
        <v>8.7000000000000011</v>
      </c>
      <c r="I8" s="10">
        <v>5.9</v>
      </c>
      <c r="J8" s="10">
        <v>12.8</v>
      </c>
    </row>
    <row r="9" spans="1:10" x14ac:dyDescent="0.25">
      <c r="A9" s="14">
        <v>45846</v>
      </c>
      <c r="B9" s="1">
        <v>20.399999999999999</v>
      </c>
      <c r="C9" s="1">
        <v>8.6</v>
      </c>
      <c r="D9" s="2">
        <v>14.5</v>
      </c>
      <c r="E9" s="2">
        <v>0</v>
      </c>
      <c r="F9" s="2"/>
      <c r="G9" s="11">
        <v>4.5</v>
      </c>
      <c r="H9" s="11">
        <v>13.200000000000001</v>
      </c>
      <c r="I9" s="11">
        <v>6.5</v>
      </c>
      <c r="J9" s="11">
        <v>19.3</v>
      </c>
    </row>
    <row r="10" spans="1:10" x14ac:dyDescent="0.25">
      <c r="A10" s="14">
        <v>45847</v>
      </c>
      <c r="B10" s="1">
        <v>22</v>
      </c>
      <c r="C10" s="1">
        <v>13.2</v>
      </c>
      <c r="D10" s="2">
        <v>17.600000000000001</v>
      </c>
      <c r="E10" s="2">
        <v>7</v>
      </c>
      <c r="F10" s="2"/>
      <c r="G10" s="10">
        <v>7.6000000000000014</v>
      </c>
      <c r="H10" s="10">
        <v>20.800000000000004</v>
      </c>
      <c r="I10" s="10">
        <v>9.6000000000000014</v>
      </c>
      <c r="J10" s="10">
        <v>28.900000000000002</v>
      </c>
    </row>
    <row r="11" spans="1:10" x14ac:dyDescent="0.25">
      <c r="A11" s="14">
        <v>45848</v>
      </c>
      <c r="B11" s="1">
        <v>13</v>
      </c>
      <c r="C11" s="1">
        <v>9.1</v>
      </c>
      <c r="D11" s="2">
        <v>11.05</v>
      </c>
      <c r="E11" s="2">
        <v>9.3000000000000007</v>
      </c>
      <c r="F11" s="2"/>
      <c r="G11" s="11">
        <v>1.0500000000000007</v>
      </c>
      <c r="H11" s="11">
        <v>21.850000000000005</v>
      </c>
      <c r="I11" s="11">
        <v>3.0500000000000007</v>
      </c>
      <c r="J11" s="11">
        <v>31.950000000000003</v>
      </c>
    </row>
    <row r="12" spans="1:10" x14ac:dyDescent="0.25">
      <c r="A12" s="14">
        <v>45849</v>
      </c>
      <c r="B12" s="1">
        <v>16.100000000000001</v>
      </c>
      <c r="C12" s="1">
        <v>4.7</v>
      </c>
      <c r="D12" s="2">
        <v>10.4</v>
      </c>
      <c r="E12" s="2">
        <v>0</v>
      </c>
      <c r="F12" s="2"/>
      <c r="G12" s="10">
        <v>0.40000000000000036</v>
      </c>
      <c r="H12" s="10">
        <v>22.250000000000007</v>
      </c>
      <c r="I12" s="10">
        <v>2.4000000000000004</v>
      </c>
      <c r="J12" s="10">
        <v>34.35</v>
      </c>
    </row>
    <row r="13" spans="1:10" x14ac:dyDescent="0.25">
      <c r="A13" s="14">
        <v>45850</v>
      </c>
      <c r="B13" s="1">
        <v>17.7</v>
      </c>
      <c r="C13" s="1">
        <v>9.4</v>
      </c>
      <c r="D13" s="2">
        <v>13.55</v>
      </c>
      <c r="E13" s="2">
        <v>0</v>
      </c>
      <c r="F13" s="2"/>
      <c r="G13" s="11">
        <v>3.5500000000000007</v>
      </c>
      <c r="H13" s="11">
        <v>25.800000000000008</v>
      </c>
      <c r="I13" s="11">
        <v>5.5500000000000007</v>
      </c>
      <c r="J13" s="11">
        <v>39.900000000000006</v>
      </c>
    </row>
    <row r="14" spans="1:10" x14ac:dyDescent="0.25">
      <c r="A14" s="14">
        <v>45851</v>
      </c>
      <c r="B14" s="1">
        <v>17.899999999999999</v>
      </c>
      <c r="C14" s="1">
        <v>6.3</v>
      </c>
      <c r="D14" s="2">
        <v>12.1</v>
      </c>
      <c r="E14" s="2">
        <v>0</v>
      </c>
      <c r="F14" s="2"/>
      <c r="G14" s="10">
        <v>2.0999999999999996</v>
      </c>
      <c r="H14" s="10">
        <v>27.900000000000006</v>
      </c>
      <c r="I14" s="10">
        <v>4.0999999999999996</v>
      </c>
      <c r="J14" s="10">
        <v>44.000000000000007</v>
      </c>
    </row>
    <row r="15" spans="1:10" x14ac:dyDescent="0.25">
      <c r="A15" s="14">
        <v>45852</v>
      </c>
      <c r="B15" s="1">
        <v>21.4</v>
      </c>
      <c r="C15" s="1">
        <v>9.1999999999999993</v>
      </c>
      <c r="D15" s="2">
        <v>15.299999999999999</v>
      </c>
      <c r="E15" s="2">
        <v>0</v>
      </c>
      <c r="F15" s="2"/>
      <c r="G15" s="11">
        <v>5.2999999999999989</v>
      </c>
      <c r="H15" s="11">
        <v>33.200000000000003</v>
      </c>
      <c r="I15" s="11">
        <v>7.2999999999999989</v>
      </c>
      <c r="J15" s="11">
        <v>51.300000000000004</v>
      </c>
    </row>
    <row r="16" spans="1:10" x14ac:dyDescent="0.25">
      <c r="A16" s="14">
        <v>45853</v>
      </c>
      <c r="B16" s="1">
        <v>22.4</v>
      </c>
      <c r="C16" s="1">
        <v>12.8</v>
      </c>
      <c r="D16" s="2">
        <v>17.600000000000001</v>
      </c>
      <c r="E16" s="2">
        <v>0.5</v>
      </c>
      <c r="F16" s="2"/>
      <c r="G16" s="10">
        <v>7.6000000000000014</v>
      </c>
      <c r="H16" s="10">
        <v>40.800000000000004</v>
      </c>
      <c r="I16" s="10">
        <v>9.6000000000000014</v>
      </c>
      <c r="J16" s="10">
        <v>60.900000000000006</v>
      </c>
    </row>
    <row r="17" spans="1:10" x14ac:dyDescent="0.25">
      <c r="A17" s="14">
        <v>45854</v>
      </c>
      <c r="B17" s="1">
        <v>14.2</v>
      </c>
      <c r="C17" s="1">
        <v>6.5</v>
      </c>
      <c r="D17" s="2">
        <v>10.35</v>
      </c>
      <c r="E17" s="2">
        <v>9.1999999999999993</v>
      </c>
      <c r="F17" s="2"/>
      <c r="G17" s="11">
        <v>0.34999999999999964</v>
      </c>
      <c r="H17" s="11">
        <v>41.150000000000006</v>
      </c>
      <c r="I17" s="11">
        <v>2.3499999999999996</v>
      </c>
      <c r="J17" s="11">
        <v>63.250000000000007</v>
      </c>
    </row>
    <row r="18" spans="1:10" x14ac:dyDescent="0.25">
      <c r="A18" s="14">
        <v>45855</v>
      </c>
      <c r="B18" s="1">
        <v>16.399999999999999</v>
      </c>
      <c r="C18" s="1">
        <v>2.4</v>
      </c>
      <c r="D18" s="2">
        <v>9.3999999999999986</v>
      </c>
      <c r="E18" s="2">
        <v>0</v>
      </c>
      <c r="F18" s="2"/>
      <c r="G18" s="10">
        <v>0</v>
      </c>
      <c r="H18" s="10">
        <v>41.150000000000006</v>
      </c>
      <c r="I18" s="10">
        <v>1.3999999999999986</v>
      </c>
      <c r="J18" s="10">
        <v>64.650000000000006</v>
      </c>
    </row>
    <row r="19" spans="1:10" x14ac:dyDescent="0.25">
      <c r="A19" s="14">
        <v>45856</v>
      </c>
      <c r="B19" s="1">
        <v>18.600000000000001</v>
      </c>
      <c r="C19" s="1">
        <v>5.8</v>
      </c>
      <c r="D19" s="2">
        <v>12.200000000000001</v>
      </c>
      <c r="E19" s="2">
        <v>0</v>
      </c>
      <c r="F19" s="2"/>
      <c r="G19" s="11">
        <v>2.2000000000000011</v>
      </c>
      <c r="H19" s="11">
        <v>43.350000000000009</v>
      </c>
      <c r="I19" s="11">
        <v>4.2000000000000011</v>
      </c>
      <c r="J19" s="11">
        <v>68.850000000000009</v>
      </c>
    </row>
    <row r="20" spans="1:10" x14ac:dyDescent="0.25">
      <c r="A20" s="14">
        <v>45857</v>
      </c>
      <c r="B20" s="1">
        <v>18.899999999999999</v>
      </c>
      <c r="C20" s="1">
        <v>6.4</v>
      </c>
      <c r="D20" s="2">
        <v>12.649999999999999</v>
      </c>
      <c r="E20" s="2">
        <v>0</v>
      </c>
      <c r="F20" s="2"/>
      <c r="G20" s="10">
        <v>2.6499999999999986</v>
      </c>
      <c r="H20" s="10">
        <v>46.000000000000007</v>
      </c>
      <c r="I20" s="10">
        <v>4.6499999999999986</v>
      </c>
      <c r="J20" s="10">
        <v>73.5</v>
      </c>
    </row>
    <row r="21" spans="1:10" x14ac:dyDescent="0.25">
      <c r="A21" s="14">
        <v>45858</v>
      </c>
      <c r="B21" s="1">
        <v>18.3</v>
      </c>
      <c r="C21" s="1">
        <v>6.8</v>
      </c>
      <c r="D21" s="2">
        <v>12.55</v>
      </c>
      <c r="E21" s="2">
        <v>0</v>
      </c>
      <c r="F21" s="2"/>
      <c r="G21" s="11">
        <v>2.5500000000000007</v>
      </c>
      <c r="H21" s="11">
        <v>48.550000000000011</v>
      </c>
      <c r="I21" s="11">
        <v>4.5500000000000007</v>
      </c>
      <c r="J21" s="11">
        <v>78.05</v>
      </c>
    </row>
    <row r="22" spans="1:10" x14ac:dyDescent="0.25">
      <c r="A22" s="14">
        <v>45859</v>
      </c>
      <c r="B22" s="1">
        <v>17.3</v>
      </c>
      <c r="C22" s="1">
        <v>6.3</v>
      </c>
      <c r="D22" s="2">
        <v>11.8</v>
      </c>
      <c r="E22" s="2">
        <v>0</v>
      </c>
      <c r="F22" s="2"/>
      <c r="G22" s="10">
        <v>1.8000000000000007</v>
      </c>
      <c r="H22" s="10">
        <v>50.350000000000009</v>
      </c>
      <c r="I22" s="10">
        <v>3.8000000000000007</v>
      </c>
      <c r="J22" s="10">
        <v>81.849999999999994</v>
      </c>
    </row>
    <row r="23" spans="1:10" x14ac:dyDescent="0.25">
      <c r="A23" s="14">
        <v>45860</v>
      </c>
      <c r="B23" s="1">
        <v>14.4</v>
      </c>
      <c r="C23" s="1">
        <v>5.8</v>
      </c>
      <c r="D23" s="2">
        <v>10.1</v>
      </c>
      <c r="E23" s="2">
        <v>0</v>
      </c>
      <c r="F23" s="2"/>
      <c r="G23" s="11">
        <v>9.9999999999999645E-2</v>
      </c>
      <c r="H23" s="11">
        <v>50.45000000000001</v>
      </c>
      <c r="I23" s="11">
        <v>2.0999999999999996</v>
      </c>
      <c r="J23" s="11">
        <v>83.949999999999989</v>
      </c>
    </row>
    <row r="24" spans="1:10" x14ac:dyDescent="0.25">
      <c r="A24" s="14">
        <v>45861</v>
      </c>
      <c r="B24" s="1">
        <v>13</v>
      </c>
      <c r="C24" s="1">
        <v>6.6</v>
      </c>
      <c r="D24" s="2">
        <v>9.8000000000000007</v>
      </c>
      <c r="E24" s="2">
        <v>8.1999999999999993</v>
      </c>
      <c r="F24" s="2"/>
      <c r="G24" s="10">
        <v>0</v>
      </c>
      <c r="H24" s="10">
        <v>50.45000000000001</v>
      </c>
      <c r="I24" s="10">
        <v>1.8000000000000007</v>
      </c>
      <c r="J24" s="10">
        <v>85.749999999999986</v>
      </c>
    </row>
    <row r="25" spans="1:10" x14ac:dyDescent="0.25">
      <c r="A25" s="14">
        <v>45862</v>
      </c>
      <c r="B25" s="1">
        <v>13.7</v>
      </c>
      <c r="C25" s="1">
        <v>7.4</v>
      </c>
      <c r="D25" s="2">
        <v>10.55</v>
      </c>
      <c r="E25" s="2">
        <v>0.7</v>
      </c>
      <c r="F25" s="2"/>
      <c r="G25" s="11">
        <v>0.55000000000000071</v>
      </c>
      <c r="H25" s="11">
        <v>51.000000000000014</v>
      </c>
      <c r="I25" s="11">
        <v>2.5500000000000007</v>
      </c>
      <c r="J25" s="11">
        <v>88.299999999999983</v>
      </c>
    </row>
    <row r="26" spans="1:10" x14ac:dyDescent="0.25">
      <c r="A26" s="14">
        <v>45863</v>
      </c>
      <c r="B26" s="1">
        <v>14.4</v>
      </c>
      <c r="C26" s="1">
        <v>8.1999999999999993</v>
      </c>
      <c r="D26" s="2">
        <v>11.3</v>
      </c>
      <c r="E26" s="2">
        <v>0</v>
      </c>
      <c r="F26" s="2"/>
      <c r="G26" s="10">
        <v>1.3000000000000007</v>
      </c>
      <c r="H26" s="10">
        <v>52.300000000000011</v>
      </c>
      <c r="I26" s="10">
        <v>3.3000000000000007</v>
      </c>
      <c r="J26" s="10">
        <v>91.59999999999998</v>
      </c>
    </row>
    <row r="27" spans="1:10" x14ac:dyDescent="0.25">
      <c r="A27" s="14">
        <v>45864</v>
      </c>
      <c r="B27" s="1">
        <v>11</v>
      </c>
      <c r="C27" s="1">
        <v>7.1</v>
      </c>
      <c r="D27" s="2">
        <v>9.0500000000000007</v>
      </c>
      <c r="E27" s="2">
        <v>1.5</v>
      </c>
      <c r="F27" s="2"/>
      <c r="G27" s="11">
        <v>0</v>
      </c>
      <c r="H27" s="11">
        <v>52.300000000000011</v>
      </c>
      <c r="I27" s="11">
        <v>1.0500000000000007</v>
      </c>
      <c r="J27" s="11">
        <v>92.649999999999977</v>
      </c>
    </row>
    <row r="28" spans="1:10" x14ac:dyDescent="0.25">
      <c r="A28" s="14">
        <v>45865</v>
      </c>
      <c r="B28" s="1">
        <v>8.3000000000000007</v>
      </c>
      <c r="C28" s="1">
        <v>6.4</v>
      </c>
      <c r="D28" s="2">
        <v>7.3500000000000005</v>
      </c>
      <c r="E28" s="2">
        <v>1.9</v>
      </c>
      <c r="F28" s="2"/>
      <c r="G28" s="10">
        <v>0</v>
      </c>
      <c r="H28" s="10">
        <v>52.300000000000011</v>
      </c>
      <c r="I28" s="10">
        <v>0</v>
      </c>
      <c r="J28" s="10">
        <v>92.649999999999977</v>
      </c>
    </row>
    <row r="29" spans="1:10" x14ac:dyDescent="0.25">
      <c r="A29" s="14">
        <v>45866</v>
      </c>
      <c r="B29" s="1">
        <v>11.7</v>
      </c>
      <c r="C29" s="1">
        <v>5.4</v>
      </c>
      <c r="D29" s="2">
        <v>8.5500000000000007</v>
      </c>
      <c r="E29" s="2">
        <v>0</v>
      </c>
      <c r="F29" s="2"/>
      <c r="G29" s="11">
        <v>0</v>
      </c>
      <c r="H29" s="11">
        <v>52.300000000000011</v>
      </c>
      <c r="I29" s="11">
        <v>0.55000000000000071</v>
      </c>
      <c r="J29" s="11">
        <v>93.199999999999974</v>
      </c>
    </row>
    <row r="30" spans="1:10" x14ac:dyDescent="0.25">
      <c r="A30" s="14">
        <v>45867</v>
      </c>
      <c r="B30" s="1">
        <v>14.9</v>
      </c>
      <c r="C30" s="1">
        <v>6</v>
      </c>
      <c r="D30" s="2">
        <v>10.45</v>
      </c>
      <c r="E30" s="2">
        <v>0</v>
      </c>
      <c r="F30" s="2"/>
      <c r="G30" s="10">
        <v>0.44999999999999929</v>
      </c>
      <c r="H30" s="10">
        <v>52.750000000000014</v>
      </c>
      <c r="I30" s="10">
        <v>2.4499999999999993</v>
      </c>
      <c r="J30" s="10">
        <v>95.649999999999977</v>
      </c>
    </row>
    <row r="31" spans="1:10" x14ac:dyDescent="0.25">
      <c r="A31" s="14">
        <v>45868</v>
      </c>
      <c r="B31" s="1">
        <v>18</v>
      </c>
      <c r="C31" s="1">
        <v>10.1</v>
      </c>
      <c r="D31" s="2">
        <v>14.05</v>
      </c>
      <c r="E31" s="2">
        <v>0</v>
      </c>
      <c r="F31" s="2"/>
      <c r="G31" s="11">
        <v>4.0500000000000007</v>
      </c>
      <c r="H31" s="11">
        <v>56.800000000000011</v>
      </c>
      <c r="I31" s="11">
        <v>6.0500000000000007</v>
      </c>
      <c r="J31" s="11">
        <v>101.69999999999997</v>
      </c>
    </row>
    <row r="32" spans="1:10" x14ac:dyDescent="0.25">
      <c r="A32" s="14">
        <v>45869</v>
      </c>
      <c r="B32" s="1">
        <v>20.3</v>
      </c>
      <c r="C32" s="1">
        <v>13.3</v>
      </c>
      <c r="D32" s="2">
        <v>16.8</v>
      </c>
      <c r="E32" s="2">
        <v>0</v>
      </c>
      <c r="F32" s="2"/>
      <c r="G32" s="10">
        <v>6.8000000000000007</v>
      </c>
      <c r="H32" s="10">
        <v>63.600000000000009</v>
      </c>
      <c r="I32" s="10">
        <v>8.8000000000000007</v>
      </c>
      <c r="J32" s="10">
        <v>110.49999999999997</v>
      </c>
    </row>
    <row r="33" spans="1:10" x14ac:dyDescent="0.25">
      <c r="A33" s="14">
        <v>45870</v>
      </c>
      <c r="B33" s="1">
        <v>20.399999999999999</v>
      </c>
      <c r="C33" s="1">
        <v>11.6</v>
      </c>
      <c r="D33" s="2">
        <v>16</v>
      </c>
      <c r="E33" s="2">
        <v>0.2</v>
      </c>
      <c r="F33" s="2"/>
      <c r="G33" s="11">
        <v>6</v>
      </c>
      <c r="H33" s="11">
        <v>69.600000000000009</v>
      </c>
      <c r="I33" s="11">
        <v>8</v>
      </c>
      <c r="J33" s="11">
        <v>118.49999999999997</v>
      </c>
    </row>
    <row r="34" spans="1:10" x14ac:dyDescent="0.25">
      <c r="A34" s="14">
        <v>45871</v>
      </c>
      <c r="B34" s="1">
        <v>18.899999999999999</v>
      </c>
      <c r="C34" s="1">
        <v>7.4</v>
      </c>
      <c r="D34" s="2">
        <v>13.149999999999999</v>
      </c>
      <c r="E34" s="2">
        <v>0</v>
      </c>
      <c r="F34" s="2"/>
      <c r="G34" s="10">
        <v>3.1499999999999986</v>
      </c>
      <c r="H34" s="10">
        <v>72.75</v>
      </c>
      <c r="I34" s="10">
        <v>5.1499999999999986</v>
      </c>
      <c r="J34" s="10">
        <v>123.64999999999998</v>
      </c>
    </row>
    <row r="35" spans="1:10" x14ac:dyDescent="0.25">
      <c r="A35" s="14">
        <v>45872</v>
      </c>
      <c r="B35" s="1">
        <v>16.899999999999999</v>
      </c>
      <c r="C35" s="1">
        <v>6</v>
      </c>
      <c r="D35" s="2">
        <v>11.45</v>
      </c>
      <c r="E35" s="2">
        <v>0.3</v>
      </c>
      <c r="F35" s="2"/>
      <c r="G35" s="11">
        <v>1.4499999999999993</v>
      </c>
      <c r="H35" s="11">
        <v>74.2</v>
      </c>
      <c r="I35" s="11">
        <v>3.4499999999999993</v>
      </c>
      <c r="J35" s="11">
        <v>127.09999999999998</v>
      </c>
    </row>
    <row r="36" spans="1:10" x14ac:dyDescent="0.25">
      <c r="A36" s="14">
        <v>45873</v>
      </c>
      <c r="B36" s="1">
        <v>15</v>
      </c>
      <c r="C36" s="1">
        <v>5.2</v>
      </c>
      <c r="D36" s="2">
        <v>10.1</v>
      </c>
      <c r="E36" s="2">
        <v>0</v>
      </c>
      <c r="F36" s="2"/>
      <c r="G36" s="10">
        <v>9.9999999999999645E-2</v>
      </c>
      <c r="H36" s="10">
        <v>74.3</v>
      </c>
      <c r="I36" s="10">
        <v>2.0999999999999996</v>
      </c>
      <c r="J36" s="10">
        <v>129.19999999999999</v>
      </c>
    </row>
    <row r="37" spans="1:10" x14ac:dyDescent="0.25">
      <c r="A37" s="14">
        <v>45874</v>
      </c>
      <c r="B37" s="1">
        <v>16.8</v>
      </c>
      <c r="C37" s="1">
        <v>4.5999999999999996</v>
      </c>
      <c r="D37" s="2">
        <v>10.7</v>
      </c>
      <c r="E37" s="2">
        <v>0</v>
      </c>
      <c r="F37" s="2"/>
      <c r="G37" s="11">
        <v>0.69999999999999929</v>
      </c>
      <c r="H37" s="11">
        <v>75</v>
      </c>
      <c r="I37" s="11">
        <v>2.6999999999999993</v>
      </c>
      <c r="J37" s="11">
        <v>131.89999999999998</v>
      </c>
    </row>
    <row r="38" spans="1:10" x14ac:dyDescent="0.25">
      <c r="A38" s="14">
        <v>45875</v>
      </c>
      <c r="B38" s="1">
        <v>18</v>
      </c>
      <c r="C38" s="1">
        <v>5.0999999999999996</v>
      </c>
      <c r="D38" s="2">
        <v>11.55</v>
      </c>
      <c r="E38" s="2">
        <v>0.1</v>
      </c>
      <c r="F38" s="2"/>
      <c r="G38" s="10">
        <v>1.5500000000000007</v>
      </c>
      <c r="H38" s="10">
        <v>76.55</v>
      </c>
      <c r="I38" s="10">
        <v>3.5500000000000007</v>
      </c>
      <c r="J38" s="10">
        <v>135.44999999999999</v>
      </c>
    </row>
    <row r="39" spans="1:10" x14ac:dyDescent="0.25">
      <c r="A39" s="14">
        <v>45876</v>
      </c>
      <c r="B39" s="1">
        <v>14.4</v>
      </c>
      <c r="C39" s="1">
        <v>5.5</v>
      </c>
      <c r="D39" s="2">
        <v>9.9499999999999993</v>
      </c>
      <c r="E39" s="2">
        <v>0</v>
      </c>
      <c r="F39" s="2"/>
      <c r="G39" s="11">
        <v>0</v>
      </c>
      <c r="H39" s="11">
        <v>76.55</v>
      </c>
      <c r="I39" s="11">
        <v>1.9499999999999993</v>
      </c>
      <c r="J39" s="11">
        <v>137.39999999999998</v>
      </c>
    </row>
    <row r="40" spans="1:10" x14ac:dyDescent="0.25">
      <c r="A40" s="14">
        <v>45877</v>
      </c>
      <c r="B40" s="1">
        <v>14.3</v>
      </c>
      <c r="C40" s="1">
        <v>1.7</v>
      </c>
      <c r="D40" s="2">
        <v>8</v>
      </c>
      <c r="E40" s="2">
        <v>0</v>
      </c>
      <c r="F40" s="2"/>
      <c r="G40" s="10">
        <v>0</v>
      </c>
      <c r="H40" s="10">
        <v>76.55</v>
      </c>
      <c r="I40" s="10">
        <v>0</v>
      </c>
      <c r="J40" s="10">
        <v>137.39999999999998</v>
      </c>
    </row>
    <row r="41" spans="1:10" x14ac:dyDescent="0.25">
      <c r="A41" s="14">
        <v>45878</v>
      </c>
      <c r="B41" s="1">
        <v>16.899999999999999</v>
      </c>
      <c r="C41" s="1">
        <v>2.1</v>
      </c>
      <c r="D41" s="2">
        <v>9.5</v>
      </c>
      <c r="E41" s="2">
        <v>0</v>
      </c>
      <c r="F41" s="2"/>
      <c r="G41" s="11">
        <v>0</v>
      </c>
      <c r="H41" s="11">
        <v>76.55</v>
      </c>
      <c r="I41" s="11">
        <v>1.5</v>
      </c>
      <c r="J41" s="11">
        <v>138.89999999999998</v>
      </c>
    </row>
    <row r="42" spans="1:10" x14ac:dyDescent="0.25">
      <c r="A42" s="14">
        <v>45879</v>
      </c>
      <c r="B42" s="1">
        <v>18.100000000000001</v>
      </c>
      <c r="C42" s="1">
        <v>3.1</v>
      </c>
      <c r="D42" s="2">
        <v>10.600000000000001</v>
      </c>
      <c r="E42" s="2">
        <v>0</v>
      </c>
      <c r="F42" s="2"/>
      <c r="G42" s="10">
        <v>0.60000000000000142</v>
      </c>
      <c r="H42" s="10">
        <v>77.150000000000006</v>
      </c>
      <c r="I42" s="10">
        <v>2.6000000000000014</v>
      </c>
      <c r="J42" s="10">
        <v>141.49999999999997</v>
      </c>
    </row>
    <row r="43" spans="1:10" x14ac:dyDescent="0.25">
      <c r="A43" s="14">
        <v>45880</v>
      </c>
      <c r="B43" s="1">
        <v>21.3</v>
      </c>
      <c r="C43" s="1">
        <v>5.5</v>
      </c>
      <c r="D43" s="2">
        <v>13.4</v>
      </c>
      <c r="E43" s="2">
        <v>0</v>
      </c>
      <c r="F43" s="2"/>
      <c r="G43" s="11">
        <v>3.4000000000000004</v>
      </c>
      <c r="H43" s="11">
        <v>80.550000000000011</v>
      </c>
      <c r="I43" s="11">
        <v>5.4</v>
      </c>
      <c r="J43" s="11">
        <v>146.89999999999998</v>
      </c>
    </row>
    <row r="44" spans="1:10" x14ac:dyDescent="0.25">
      <c r="A44" s="14">
        <v>45881</v>
      </c>
      <c r="B44" s="1">
        <v>21.1</v>
      </c>
      <c r="C44" s="1">
        <v>9.4</v>
      </c>
      <c r="D44" s="2">
        <v>15.25</v>
      </c>
      <c r="E44" s="2">
        <v>0</v>
      </c>
      <c r="F44" s="2"/>
      <c r="G44" s="10">
        <v>5.25</v>
      </c>
      <c r="H44" s="10">
        <v>85.800000000000011</v>
      </c>
      <c r="I44" s="10">
        <v>7.25</v>
      </c>
      <c r="J44" s="10">
        <v>154.14999999999998</v>
      </c>
    </row>
    <row r="45" spans="1:10" x14ac:dyDescent="0.25">
      <c r="A45" s="14">
        <v>45882</v>
      </c>
      <c r="B45" s="1">
        <v>16.2</v>
      </c>
      <c r="C45" s="1">
        <v>7.2</v>
      </c>
      <c r="D45" s="2">
        <v>11.7</v>
      </c>
      <c r="E45" s="2">
        <v>0</v>
      </c>
      <c r="F45" s="2"/>
      <c r="G45" s="11">
        <v>1.6999999999999993</v>
      </c>
      <c r="H45" s="11">
        <v>87.500000000000014</v>
      </c>
      <c r="I45" s="11">
        <v>3.6999999999999993</v>
      </c>
      <c r="J45" s="11">
        <v>157.84999999999997</v>
      </c>
    </row>
    <row r="46" spans="1:10" x14ac:dyDescent="0.25">
      <c r="A46" s="14">
        <v>45883</v>
      </c>
      <c r="B46" s="1">
        <v>14.3</v>
      </c>
      <c r="C46" s="1">
        <v>4.4000000000000004</v>
      </c>
      <c r="D46" s="2">
        <v>9.3500000000000014</v>
      </c>
      <c r="E46" s="2">
        <v>0</v>
      </c>
      <c r="F46" s="2"/>
      <c r="G46" s="10">
        <v>0</v>
      </c>
      <c r="H46" s="10">
        <v>87.500000000000014</v>
      </c>
      <c r="I46" s="10">
        <v>1.3500000000000014</v>
      </c>
      <c r="J46" s="10">
        <v>159.19999999999996</v>
      </c>
    </row>
    <row r="47" spans="1:10" x14ac:dyDescent="0.25">
      <c r="A47" s="14">
        <v>45884</v>
      </c>
      <c r="B47" s="1">
        <v>14.9</v>
      </c>
      <c r="C47" s="1">
        <v>3.9</v>
      </c>
      <c r="D47" s="2">
        <v>9.4</v>
      </c>
      <c r="E47" s="2">
        <v>0</v>
      </c>
      <c r="F47" s="2"/>
      <c r="G47" s="11">
        <v>0</v>
      </c>
      <c r="H47" s="11">
        <v>87.500000000000014</v>
      </c>
      <c r="I47" s="11">
        <v>1.4000000000000004</v>
      </c>
      <c r="J47" s="11">
        <v>160.59999999999997</v>
      </c>
    </row>
    <row r="48" spans="1:10" x14ac:dyDescent="0.25">
      <c r="A48" s="14">
        <v>45885</v>
      </c>
      <c r="B48" s="1">
        <v>15</v>
      </c>
      <c r="C48" s="1">
        <v>7</v>
      </c>
      <c r="D48" s="2">
        <v>11</v>
      </c>
      <c r="E48" s="2">
        <v>3.7</v>
      </c>
      <c r="F48" s="2"/>
      <c r="G48" s="10">
        <v>1</v>
      </c>
      <c r="H48" s="10">
        <v>88.500000000000014</v>
      </c>
      <c r="I48" s="10">
        <v>3</v>
      </c>
      <c r="J48" s="10">
        <v>163.59999999999997</v>
      </c>
    </row>
    <row r="49" spans="1:10" x14ac:dyDescent="0.25">
      <c r="A49" s="14">
        <v>45886</v>
      </c>
      <c r="B49" s="1">
        <v>15.7</v>
      </c>
      <c r="C49" s="1">
        <v>6</v>
      </c>
      <c r="D49" s="2">
        <v>10.85</v>
      </c>
      <c r="E49" s="2">
        <v>0</v>
      </c>
      <c r="F49" s="2"/>
      <c r="G49" s="11">
        <v>0.84999999999999964</v>
      </c>
      <c r="H49" s="11">
        <v>89.350000000000009</v>
      </c>
      <c r="I49" s="11">
        <v>2.8499999999999996</v>
      </c>
      <c r="J49" s="11">
        <v>166.44999999999996</v>
      </c>
    </row>
    <row r="50" spans="1:10" x14ac:dyDescent="0.25">
      <c r="A50" s="14">
        <v>45887</v>
      </c>
      <c r="B50" s="1">
        <v>15.4</v>
      </c>
      <c r="C50" s="1">
        <v>9</v>
      </c>
      <c r="D50" s="2">
        <v>12.2</v>
      </c>
      <c r="E50" s="2">
        <v>13.8</v>
      </c>
      <c r="F50" s="2"/>
      <c r="G50" s="10">
        <v>2.1999999999999993</v>
      </c>
      <c r="H50" s="10">
        <v>91.550000000000011</v>
      </c>
      <c r="I50" s="10">
        <v>4.1999999999999993</v>
      </c>
      <c r="J50" s="10">
        <v>170.64999999999995</v>
      </c>
    </row>
    <row r="51" spans="1:10" x14ac:dyDescent="0.25">
      <c r="A51" s="14">
        <v>45888</v>
      </c>
      <c r="B51" s="1">
        <v>12.3</v>
      </c>
      <c r="C51" s="1">
        <v>11</v>
      </c>
      <c r="D51" s="2">
        <v>11.65</v>
      </c>
      <c r="E51" s="2">
        <v>27</v>
      </c>
      <c r="F51" s="2"/>
      <c r="G51" s="11">
        <v>1.6500000000000004</v>
      </c>
      <c r="H51" s="11">
        <v>93.200000000000017</v>
      </c>
      <c r="I51" s="11">
        <v>3.6500000000000004</v>
      </c>
      <c r="J51" s="11">
        <v>174.29999999999995</v>
      </c>
    </row>
    <row r="52" spans="1:10" x14ac:dyDescent="0.25">
      <c r="A52" s="14">
        <v>45889</v>
      </c>
      <c r="B52" s="1">
        <v>19.7</v>
      </c>
      <c r="C52" s="1">
        <v>9.9</v>
      </c>
      <c r="D52" s="2">
        <v>14.8</v>
      </c>
      <c r="E52" s="2">
        <v>0</v>
      </c>
      <c r="F52" s="2"/>
      <c r="G52" s="10">
        <v>4.8000000000000007</v>
      </c>
      <c r="H52" s="10">
        <v>98.000000000000014</v>
      </c>
      <c r="I52" s="10">
        <v>6.8000000000000007</v>
      </c>
      <c r="J52" s="10">
        <v>181.09999999999997</v>
      </c>
    </row>
    <row r="53" spans="1:10" x14ac:dyDescent="0.25">
      <c r="A53" s="14">
        <v>45890</v>
      </c>
      <c r="B53" s="1">
        <v>21.5</v>
      </c>
      <c r="C53" s="1">
        <v>8.1999999999999993</v>
      </c>
      <c r="D53" s="2">
        <v>14.85</v>
      </c>
      <c r="E53" s="2">
        <v>0</v>
      </c>
      <c r="F53" s="2"/>
      <c r="G53" s="11">
        <v>4.8499999999999996</v>
      </c>
      <c r="H53" s="11">
        <v>102.85000000000001</v>
      </c>
      <c r="I53" s="11">
        <v>6.85</v>
      </c>
      <c r="J53" s="11">
        <v>187.94999999999996</v>
      </c>
    </row>
    <row r="54" spans="1:10" x14ac:dyDescent="0.25">
      <c r="A54" s="14">
        <v>45891</v>
      </c>
      <c r="B54" s="1">
        <v>16.2</v>
      </c>
      <c r="C54" s="1">
        <v>9.9</v>
      </c>
      <c r="D54" s="2">
        <v>13.05</v>
      </c>
      <c r="E54" s="2">
        <v>0</v>
      </c>
      <c r="F54" s="2"/>
      <c r="G54" s="10">
        <v>3.0500000000000007</v>
      </c>
      <c r="H54" s="10">
        <v>105.9</v>
      </c>
      <c r="I54" s="10">
        <v>5.0500000000000007</v>
      </c>
      <c r="J54" s="10">
        <v>192.99999999999997</v>
      </c>
    </row>
    <row r="55" spans="1:10" x14ac:dyDescent="0.25">
      <c r="A55" s="14">
        <v>45892</v>
      </c>
      <c r="B55" s="1">
        <v>13.9</v>
      </c>
      <c r="C55" s="1">
        <v>4.5999999999999996</v>
      </c>
      <c r="D55" s="2">
        <v>9.25</v>
      </c>
      <c r="E55" s="2">
        <v>0</v>
      </c>
      <c r="F55" s="2"/>
      <c r="G55" s="11">
        <v>0</v>
      </c>
      <c r="H55" s="11">
        <v>105.9</v>
      </c>
      <c r="I55" s="11">
        <v>1.25</v>
      </c>
      <c r="J55" s="11">
        <v>194.24999999999997</v>
      </c>
    </row>
    <row r="56" spans="1:10" x14ac:dyDescent="0.25">
      <c r="A56" s="14">
        <v>45893</v>
      </c>
      <c r="B56" s="1">
        <v>19.5</v>
      </c>
      <c r="C56" s="1">
        <v>4.3</v>
      </c>
      <c r="D56" s="2">
        <v>11.9</v>
      </c>
      <c r="E56" s="2">
        <v>0</v>
      </c>
      <c r="F56" s="2"/>
      <c r="G56" s="10">
        <v>1.9000000000000004</v>
      </c>
      <c r="H56" s="10">
        <v>107.80000000000001</v>
      </c>
      <c r="I56" s="10">
        <v>3.9000000000000004</v>
      </c>
      <c r="J56" s="10">
        <v>198.14999999999998</v>
      </c>
    </row>
    <row r="57" spans="1:10" x14ac:dyDescent="0.25">
      <c r="A57" s="14">
        <v>45894</v>
      </c>
      <c r="B57" s="1">
        <v>20.9</v>
      </c>
      <c r="C57" s="1">
        <v>5.2</v>
      </c>
      <c r="D57" s="2">
        <v>13.049999999999999</v>
      </c>
      <c r="E57" s="2">
        <v>0</v>
      </c>
      <c r="F57" s="2"/>
      <c r="G57" s="11">
        <v>3.0499999999999989</v>
      </c>
      <c r="H57" s="11">
        <v>110.85000000000001</v>
      </c>
      <c r="I57" s="11">
        <v>5.0499999999999989</v>
      </c>
      <c r="J57" s="11">
        <v>203.2</v>
      </c>
    </row>
    <row r="58" spans="1:10" x14ac:dyDescent="0.25">
      <c r="A58" s="14">
        <v>45895</v>
      </c>
      <c r="B58" s="1">
        <v>22.7</v>
      </c>
      <c r="C58" s="1">
        <v>5.9</v>
      </c>
      <c r="D58" s="2">
        <v>14.3</v>
      </c>
      <c r="E58" s="2">
        <v>0</v>
      </c>
      <c r="F58" s="2"/>
      <c r="G58" s="10">
        <v>4.3000000000000007</v>
      </c>
      <c r="H58" s="10">
        <v>115.15</v>
      </c>
      <c r="I58" s="10">
        <v>6.3000000000000007</v>
      </c>
      <c r="J58" s="10">
        <v>209.5</v>
      </c>
    </row>
    <row r="59" spans="1:10" x14ac:dyDescent="0.25">
      <c r="A59" s="14">
        <v>45896</v>
      </c>
      <c r="B59" s="1">
        <v>23.4</v>
      </c>
      <c r="C59" s="1">
        <v>8.1</v>
      </c>
      <c r="D59" s="2">
        <v>15.75</v>
      </c>
      <c r="E59" s="2">
        <v>0</v>
      </c>
      <c r="F59" s="2"/>
      <c r="G59" s="11">
        <v>5.75</v>
      </c>
      <c r="H59" s="11">
        <v>120.9</v>
      </c>
      <c r="I59" s="11">
        <v>7.75</v>
      </c>
      <c r="J59" s="11">
        <v>217.25</v>
      </c>
    </row>
    <row r="60" spans="1:10" x14ac:dyDescent="0.25">
      <c r="A60" s="14">
        <v>45897</v>
      </c>
      <c r="B60" s="1">
        <v>22.9</v>
      </c>
      <c r="C60" s="1">
        <v>9.5</v>
      </c>
      <c r="D60" s="2">
        <v>16.2</v>
      </c>
      <c r="E60" s="2">
        <v>0</v>
      </c>
      <c r="F60" s="2"/>
      <c r="G60" s="10">
        <v>6.1999999999999993</v>
      </c>
      <c r="H60" s="10">
        <v>127.10000000000001</v>
      </c>
      <c r="I60" s="10">
        <v>8.1999999999999993</v>
      </c>
      <c r="J60" s="10">
        <v>225.45</v>
      </c>
    </row>
    <row r="61" spans="1:10" x14ac:dyDescent="0.25">
      <c r="A61" s="14">
        <v>45898</v>
      </c>
      <c r="B61" s="1">
        <v>25</v>
      </c>
      <c r="C61" s="1">
        <v>13.1</v>
      </c>
      <c r="D61" s="2">
        <v>19.05</v>
      </c>
      <c r="E61" s="2">
        <v>0</v>
      </c>
      <c r="F61" s="2"/>
      <c r="G61" s="11">
        <v>9.0500000000000007</v>
      </c>
      <c r="H61" s="11">
        <v>136.15</v>
      </c>
      <c r="I61" s="11">
        <v>11.05</v>
      </c>
      <c r="J61" s="11">
        <v>236.5</v>
      </c>
    </row>
    <row r="62" spans="1:10" x14ac:dyDescent="0.25">
      <c r="A62" s="14">
        <v>45899</v>
      </c>
      <c r="B62" s="1">
        <v>17.3</v>
      </c>
      <c r="C62" s="1">
        <v>14.7</v>
      </c>
      <c r="D62" s="2">
        <v>16</v>
      </c>
      <c r="E62" s="2">
        <v>74.8</v>
      </c>
      <c r="F62" s="2"/>
      <c r="G62" s="10">
        <v>6</v>
      </c>
      <c r="H62" s="10">
        <v>142.15</v>
      </c>
      <c r="I62" s="10">
        <v>8</v>
      </c>
      <c r="J62" s="10">
        <v>244.5</v>
      </c>
    </row>
    <row r="63" spans="1:10" x14ac:dyDescent="0.25">
      <c r="A63" s="14">
        <v>45900</v>
      </c>
      <c r="B63" s="1">
        <v>14.2</v>
      </c>
      <c r="C63" s="1">
        <v>7.7</v>
      </c>
      <c r="D63" s="2">
        <v>10.95</v>
      </c>
      <c r="E63" s="2">
        <v>65.3</v>
      </c>
      <c r="F63" s="2"/>
      <c r="G63" s="11">
        <v>0.94999999999999929</v>
      </c>
      <c r="H63" s="11">
        <v>143.1</v>
      </c>
      <c r="I63" s="11">
        <v>2.9499999999999993</v>
      </c>
      <c r="J63" s="11">
        <v>247.45</v>
      </c>
    </row>
    <row r="64" spans="1:10" x14ac:dyDescent="0.25">
      <c r="A64" s="14">
        <v>45901</v>
      </c>
      <c r="B64" s="1">
        <v>19.3</v>
      </c>
      <c r="C64" s="1">
        <v>5.2</v>
      </c>
      <c r="D64" s="2">
        <v>12.25</v>
      </c>
      <c r="E64" s="2">
        <v>0</v>
      </c>
      <c r="F64" s="2"/>
      <c r="G64" s="10">
        <v>2.25</v>
      </c>
      <c r="H64" s="10">
        <v>145.35</v>
      </c>
      <c r="I64" s="10">
        <v>4.25</v>
      </c>
      <c r="J64" s="10">
        <v>251.7</v>
      </c>
    </row>
    <row r="65" spans="1:10" x14ac:dyDescent="0.25">
      <c r="A65" s="14">
        <v>45902</v>
      </c>
      <c r="B65" s="1">
        <v>19.100000000000001</v>
      </c>
      <c r="C65" s="1">
        <v>8.5</v>
      </c>
      <c r="D65" s="2">
        <v>13.8</v>
      </c>
      <c r="E65" s="2">
        <v>0.4</v>
      </c>
      <c r="F65" s="2"/>
      <c r="G65" s="11">
        <v>3.8000000000000007</v>
      </c>
      <c r="H65" s="11">
        <v>149.15</v>
      </c>
      <c r="I65" s="11">
        <v>5.8000000000000007</v>
      </c>
      <c r="J65" s="11">
        <v>257.5</v>
      </c>
    </row>
    <row r="66" spans="1:10" x14ac:dyDescent="0.25">
      <c r="A66" s="14">
        <v>45903</v>
      </c>
      <c r="B66" s="1">
        <v>17</v>
      </c>
      <c r="C66" s="1">
        <v>7.7</v>
      </c>
      <c r="D66" s="2">
        <v>12.35</v>
      </c>
      <c r="E66" s="2">
        <v>0</v>
      </c>
      <c r="F66" s="2"/>
      <c r="G66" s="10">
        <v>2.3499999999999996</v>
      </c>
      <c r="H66" s="10">
        <v>151.5</v>
      </c>
      <c r="I66" s="10">
        <v>4.3499999999999996</v>
      </c>
      <c r="J66" s="10">
        <v>261.85000000000002</v>
      </c>
    </row>
    <row r="67" spans="1:10" x14ac:dyDescent="0.25">
      <c r="A67" s="14">
        <v>45904</v>
      </c>
      <c r="B67" s="1">
        <v>12.6</v>
      </c>
      <c r="C67" s="1">
        <v>5.0999999999999996</v>
      </c>
      <c r="D67" s="2">
        <v>8.85</v>
      </c>
      <c r="E67" s="2">
        <v>0</v>
      </c>
      <c r="F67" s="2"/>
      <c r="G67" s="11">
        <v>0</v>
      </c>
      <c r="H67" s="11">
        <v>151.5</v>
      </c>
      <c r="I67" s="11">
        <v>0.84999999999999964</v>
      </c>
      <c r="J67" s="11">
        <v>262.70000000000005</v>
      </c>
    </row>
    <row r="68" spans="1:10" x14ac:dyDescent="0.25">
      <c r="A68" s="14">
        <v>45905</v>
      </c>
      <c r="B68" s="1">
        <v>13.6</v>
      </c>
      <c r="C68" s="1">
        <v>1.7</v>
      </c>
      <c r="D68" s="2">
        <v>7.6499999999999995</v>
      </c>
      <c r="E68" s="2">
        <v>0</v>
      </c>
      <c r="F68" s="2"/>
      <c r="G68" s="10">
        <v>0</v>
      </c>
      <c r="H68" s="10">
        <v>151.5</v>
      </c>
      <c r="I68" s="10">
        <v>0</v>
      </c>
      <c r="J68" s="10">
        <v>262.70000000000005</v>
      </c>
    </row>
    <row r="69" spans="1:10" x14ac:dyDescent="0.25">
      <c r="A69" s="14">
        <v>45906</v>
      </c>
      <c r="B69" s="1">
        <v>16</v>
      </c>
      <c r="C69" s="1">
        <v>3.7</v>
      </c>
      <c r="D69" s="2">
        <v>9.85</v>
      </c>
      <c r="E69" s="2">
        <v>0</v>
      </c>
      <c r="F69" s="2"/>
      <c r="G69" s="11">
        <v>0</v>
      </c>
      <c r="H69" s="11">
        <v>151.5</v>
      </c>
      <c r="I69" s="11">
        <v>1.8499999999999996</v>
      </c>
      <c r="J69" s="11">
        <v>264.55000000000007</v>
      </c>
    </row>
    <row r="70" spans="1:10" x14ac:dyDescent="0.25">
      <c r="A70" s="14">
        <v>45907</v>
      </c>
      <c r="B70" s="1">
        <v>17.3</v>
      </c>
      <c r="C70" s="1">
        <v>5.2</v>
      </c>
      <c r="D70" s="2">
        <v>11.25</v>
      </c>
      <c r="E70" s="2">
        <v>0</v>
      </c>
      <c r="F70" s="2"/>
      <c r="G70" s="10">
        <v>1.25</v>
      </c>
      <c r="H70" s="10">
        <v>152.75</v>
      </c>
      <c r="I70" s="10">
        <v>3.25</v>
      </c>
      <c r="J70" s="10">
        <v>267.80000000000007</v>
      </c>
    </row>
    <row r="71" spans="1:10" x14ac:dyDescent="0.25">
      <c r="A71" s="14">
        <v>45908</v>
      </c>
      <c r="B71" s="1">
        <v>19.2</v>
      </c>
      <c r="C71" s="1">
        <v>6.8</v>
      </c>
      <c r="D71" s="2">
        <v>13</v>
      </c>
      <c r="E71" s="2">
        <v>0</v>
      </c>
      <c r="F71" s="2"/>
      <c r="G71" s="11">
        <v>3</v>
      </c>
      <c r="H71" s="11">
        <v>155.75</v>
      </c>
      <c r="I71" s="11">
        <v>5</v>
      </c>
      <c r="J71" s="11">
        <v>272.80000000000007</v>
      </c>
    </row>
    <row r="72" spans="1:10" x14ac:dyDescent="0.25">
      <c r="A72" s="14">
        <v>45909</v>
      </c>
      <c r="B72" s="1">
        <v>22</v>
      </c>
      <c r="C72" s="1">
        <v>5.2</v>
      </c>
      <c r="D72" s="2">
        <v>13.6</v>
      </c>
      <c r="E72" s="2">
        <v>0</v>
      </c>
      <c r="F72" s="2"/>
      <c r="G72" s="10">
        <v>3.5999999999999996</v>
      </c>
      <c r="H72" s="10">
        <v>159.35</v>
      </c>
      <c r="I72" s="10">
        <v>5.6</v>
      </c>
      <c r="J72" s="10">
        <v>278.40000000000009</v>
      </c>
    </row>
    <row r="73" spans="1:10" x14ac:dyDescent="0.25">
      <c r="A73" s="14">
        <v>45910</v>
      </c>
      <c r="B73" s="1">
        <v>23.1</v>
      </c>
      <c r="C73" s="1">
        <v>12.6</v>
      </c>
      <c r="D73" s="2">
        <v>17.850000000000001</v>
      </c>
      <c r="E73" s="2">
        <v>0</v>
      </c>
      <c r="F73" s="2"/>
      <c r="G73" s="11">
        <v>7.8500000000000014</v>
      </c>
      <c r="H73" s="11">
        <v>167.2</v>
      </c>
      <c r="I73" s="11">
        <v>9.8500000000000014</v>
      </c>
      <c r="J73" s="11">
        <v>288.25000000000011</v>
      </c>
    </row>
    <row r="74" spans="1:10" x14ac:dyDescent="0.25">
      <c r="A74" s="14">
        <v>45911</v>
      </c>
      <c r="B74" s="1">
        <v>22.5</v>
      </c>
      <c r="C74" s="1">
        <v>7.7</v>
      </c>
      <c r="D74" s="2">
        <v>15.1</v>
      </c>
      <c r="E74" s="2">
        <v>0</v>
      </c>
      <c r="F74" s="2"/>
      <c r="G74" s="10">
        <v>5.0999999999999996</v>
      </c>
      <c r="H74" s="10">
        <v>172.29999999999998</v>
      </c>
      <c r="I74" s="10">
        <v>7.1</v>
      </c>
      <c r="J74" s="10">
        <v>295.35000000000014</v>
      </c>
    </row>
    <row r="75" spans="1:10" x14ac:dyDescent="0.25">
      <c r="A75" s="14">
        <v>45912</v>
      </c>
      <c r="B75" s="1">
        <v>22.6</v>
      </c>
      <c r="C75" s="1">
        <v>9.1</v>
      </c>
      <c r="D75" s="2">
        <v>15.850000000000001</v>
      </c>
      <c r="E75" s="2">
        <v>0</v>
      </c>
      <c r="F75" s="2"/>
      <c r="G75" s="11">
        <v>5.8500000000000014</v>
      </c>
      <c r="H75" s="11">
        <v>178.14999999999998</v>
      </c>
      <c r="I75" s="11">
        <v>7.8500000000000014</v>
      </c>
      <c r="J75" s="11">
        <v>303.20000000000016</v>
      </c>
    </row>
    <row r="76" spans="1:10" x14ac:dyDescent="0.25">
      <c r="A76" s="14">
        <v>45913</v>
      </c>
      <c r="B76" s="1">
        <v>23.4</v>
      </c>
      <c r="C76" s="1">
        <v>12</v>
      </c>
      <c r="D76" s="2">
        <v>17.7</v>
      </c>
      <c r="E76" s="2">
        <v>0</v>
      </c>
      <c r="F76" s="2"/>
      <c r="G76" s="10">
        <v>7.6999999999999993</v>
      </c>
      <c r="H76" s="10">
        <v>185.84999999999997</v>
      </c>
      <c r="I76" s="10">
        <v>9.6999999999999993</v>
      </c>
      <c r="J76" s="10">
        <v>312.90000000000015</v>
      </c>
    </row>
    <row r="77" spans="1:10" x14ac:dyDescent="0.25">
      <c r="A77" s="14">
        <v>45914</v>
      </c>
      <c r="B77" s="1">
        <v>22.3</v>
      </c>
      <c r="C77" s="1">
        <v>11.2</v>
      </c>
      <c r="D77" s="2">
        <v>16.75</v>
      </c>
      <c r="E77" s="2">
        <v>0.7</v>
      </c>
      <c r="F77" s="2"/>
      <c r="G77" s="11">
        <v>6.75</v>
      </c>
      <c r="H77" s="11">
        <v>192.59999999999997</v>
      </c>
      <c r="I77" s="11">
        <v>8.75</v>
      </c>
      <c r="J77" s="11">
        <v>321.65000000000015</v>
      </c>
    </row>
    <row r="78" spans="1:10" x14ac:dyDescent="0.25">
      <c r="A78" s="14">
        <v>45915</v>
      </c>
      <c r="B78" s="1">
        <v>23.5</v>
      </c>
      <c r="C78" s="1">
        <v>13.5</v>
      </c>
      <c r="D78" s="2">
        <v>18.5</v>
      </c>
      <c r="E78" s="2">
        <v>25.5</v>
      </c>
      <c r="F78" s="2"/>
      <c r="G78" s="10">
        <v>8.5</v>
      </c>
      <c r="H78" s="10">
        <v>201.09999999999997</v>
      </c>
      <c r="I78" s="10">
        <v>10.5</v>
      </c>
      <c r="J78" s="10">
        <v>332.15000000000015</v>
      </c>
    </row>
    <row r="79" spans="1:10" x14ac:dyDescent="0.25">
      <c r="A79" s="14">
        <v>45916</v>
      </c>
      <c r="B79" s="1">
        <v>26</v>
      </c>
      <c r="C79" s="1">
        <v>13.9</v>
      </c>
      <c r="D79" s="2">
        <v>19.95</v>
      </c>
      <c r="E79" s="2">
        <v>0</v>
      </c>
      <c r="F79" s="2"/>
      <c r="G79" s="11">
        <v>9.9499999999999993</v>
      </c>
      <c r="H79" s="11">
        <v>211.04999999999995</v>
      </c>
      <c r="I79" s="11">
        <v>11.95</v>
      </c>
      <c r="J79" s="11">
        <v>344.10000000000014</v>
      </c>
    </row>
    <row r="80" spans="1:10" x14ac:dyDescent="0.25">
      <c r="A80" s="14">
        <v>45917</v>
      </c>
      <c r="B80" s="1">
        <v>25.3</v>
      </c>
      <c r="C80" s="1">
        <v>15.3</v>
      </c>
      <c r="D80" s="2">
        <v>20.3</v>
      </c>
      <c r="E80" s="2">
        <v>0.3</v>
      </c>
      <c r="F80" s="2"/>
      <c r="G80" s="10">
        <v>10.3</v>
      </c>
      <c r="H80" s="10">
        <v>221.34999999999997</v>
      </c>
      <c r="I80" s="10">
        <v>12.3</v>
      </c>
      <c r="J80" s="10">
        <v>356.40000000000015</v>
      </c>
    </row>
    <row r="81" spans="1:10" x14ac:dyDescent="0.25">
      <c r="A81" s="14">
        <v>45918</v>
      </c>
      <c r="B81" s="1">
        <v>26.5</v>
      </c>
      <c r="C81" s="1">
        <v>17.100000000000001</v>
      </c>
      <c r="D81" s="2">
        <v>21.8</v>
      </c>
      <c r="E81" s="2">
        <v>0.3</v>
      </c>
      <c r="F81" s="2"/>
      <c r="G81" s="11">
        <v>11.8</v>
      </c>
      <c r="H81" s="11">
        <v>233.14999999999998</v>
      </c>
      <c r="I81" s="11">
        <v>13.8</v>
      </c>
      <c r="J81" s="11">
        <v>370.20000000000016</v>
      </c>
    </row>
    <row r="82" spans="1:10" x14ac:dyDescent="0.25">
      <c r="A82" s="14">
        <v>45919</v>
      </c>
      <c r="B82" s="1">
        <v>26.2</v>
      </c>
      <c r="C82" s="1">
        <v>17.7</v>
      </c>
      <c r="D82" s="2">
        <v>21.95</v>
      </c>
      <c r="E82" s="2">
        <v>0</v>
      </c>
      <c r="F82" s="2"/>
      <c r="G82" s="10">
        <v>11.95</v>
      </c>
      <c r="H82" s="10">
        <v>245.09999999999997</v>
      </c>
      <c r="I82" s="10">
        <v>13.95</v>
      </c>
      <c r="J82" s="10">
        <v>384.15000000000015</v>
      </c>
    </row>
    <row r="83" spans="1:10" x14ac:dyDescent="0.25">
      <c r="A83" s="14">
        <v>45920</v>
      </c>
      <c r="B83" s="1">
        <v>23.9</v>
      </c>
      <c r="C83" s="1">
        <v>14.6</v>
      </c>
      <c r="D83" s="2">
        <v>19.25</v>
      </c>
      <c r="E83" s="2">
        <v>17.8</v>
      </c>
      <c r="F83" s="2"/>
      <c r="G83" s="11">
        <v>9.25</v>
      </c>
      <c r="H83" s="11">
        <v>254.34999999999997</v>
      </c>
      <c r="I83" s="11">
        <v>11.25</v>
      </c>
      <c r="J83" s="11">
        <v>395.40000000000015</v>
      </c>
    </row>
    <row r="84" spans="1:10" x14ac:dyDescent="0.25">
      <c r="A84" s="14">
        <v>45921</v>
      </c>
      <c r="B84" s="1">
        <v>19.600000000000001</v>
      </c>
      <c r="C84" s="1">
        <v>11.7</v>
      </c>
      <c r="D84" s="2">
        <v>15.65</v>
      </c>
      <c r="E84" s="2">
        <v>0</v>
      </c>
      <c r="F84" s="2"/>
      <c r="G84" s="10">
        <v>5.65</v>
      </c>
      <c r="H84" s="10">
        <v>259.99999999999994</v>
      </c>
      <c r="I84" s="10">
        <v>7.65</v>
      </c>
      <c r="J84" s="10">
        <v>403.05000000000013</v>
      </c>
    </row>
    <row r="85" spans="1:10" x14ac:dyDescent="0.25">
      <c r="A85" s="14">
        <v>45922</v>
      </c>
      <c r="B85" s="1">
        <v>19.5</v>
      </c>
      <c r="C85" s="1">
        <v>10.6</v>
      </c>
      <c r="D85" s="2">
        <v>15.05</v>
      </c>
      <c r="E85" s="2">
        <v>0</v>
      </c>
      <c r="F85" s="2"/>
      <c r="G85" s="11">
        <v>5.0500000000000007</v>
      </c>
      <c r="H85" s="11">
        <v>265.04999999999995</v>
      </c>
      <c r="I85" s="11">
        <v>7.0500000000000007</v>
      </c>
      <c r="J85" s="11">
        <v>410.10000000000014</v>
      </c>
    </row>
    <row r="86" spans="1:10" x14ac:dyDescent="0.25">
      <c r="A86" s="14">
        <v>45923</v>
      </c>
      <c r="B86" s="1">
        <v>22.5</v>
      </c>
      <c r="C86" s="1">
        <v>7.2</v>
      </c>
      <c r="D86" s="2">
        <v>14.85</v>
      </c>
      <c r="E86" s="2">
        <v>0</v>
      </c>
      <c r="F86" s="2"/>
      <c r="G86" s="10">
        <v>4.8499999999999996</v>
      </c>
      <c r="H86" s="10">
        <v>269.89999999999998</v>
      </c>
      <c r="I86" s="10">
        <v>6.85</v>
      </c>
      <c r="J86" s="10">
        <v>416.95000000000016</v>
      </c>
    </row>
    <row r="87" spans="1:10" x14ac:dyDescent="0.25">
      <c r="A87" s="14">
        <v>45924</v>
      </c>
      <c r="B87" s="1">
        <v>22.8</v>
      </c>
      <c r="C87" s="1">
        <v>10.199999999999999</v>
      </c>
      <c r="D87" s="2">
        <v>16.5</v>
      </c>
      <c r="E87" s="2">
        <v>0</v>
      </c>
      <c r="F87" s="2"/>
      <c r="G87" s="11">
        <v>6.5</v>
      </c>
      <c r="H87" s="11">
        <v>276.39999999999998</v>
      </c>
      <c r="I87" s="11">
        <v>8.5</v>
      </c>
      <c r="J87" s="11">
        <v>425.45000000000016</v>
      </c>
    </row>
    <row r="88" spans="1:10" x14ac:dyDescent="0.25">
      <c r="A88" s="14">
        <v>45925</v>
      </c>
      <c r="B88" s="1">
        <v>23.2</v>
      </c>
      <c r="C88" s="1">
        <v>12.4</v>
      </c>
      <c r="D88" s="2">
        <v>17.8</v>
      </c>
      <c r="E88" s="2">
        <v>0</v>
      </c>
      <c r="F88" s="2"/>
      <c r="G88" s="10">
        <v>7.8000000000000007</v>
      </c>
      <c r="H88" s="10">
        <v>284.2</v>
      </c>
      <c r="I88" s="10">
        <v>9.8000000000000007</v>
      </c>
      <c r="J88" s="10">
        <v>435.25000000000017</v>
      </c>
    </row>
    <row r="89" spans="1:10" x14ac:dyDescent="0.25">
      <c r="A89" s="14">
        <v>45926</v>
      </c>
      <c r="B89" s="1">
        <v>23.3</v>
      </c>
      <c r="C89" s="1">
        <v>12.5</v>
      </c>
      <c r="D89" s="2">
        <v>17.899999999999999</v>
      </c>
      <c r="E89" s="2">
        <v>0.6</v>
      </c>
      <c r="F89" s="2"/>
      <c r="G89" s="11">
        <v>7.8999999999999986</v>
      </c>
      <c r="H89" s="11">
        <v>292.09999999999997</v>
      </c>
      <c r="I89" s="11">
        <v>9.8999999999999986</v>
      </c>
      <c r="J89" s="11">
        <v>445.15000000000015</v>
      </c>
    </row>
    <row r="90" spans="1:10" x14ac:dyDescent="0.25">
      <c r="A90" s="14">
        <v>45927</v>
      </c>
      <c r="B90" s="1">
        <v>20.100000000000001</v>
      </c>
      <c r="C90" s="1">
        <v>11.8</v>
      </c>
      <c r="D90" s="2">
        <v>15.950000000000001</v>
      </c>
      <c r="E90" s="2">
        <v>26.6</v>
      </c>
      <c r="F90" s="2"/>
      <c r="G90" s="10">
        <v>5.9500000000000011</v>
      </c>
      <c r="H90" s="10">
        <v>298.04999999999995</v>
      </c>
      <c r="I90" s="10">
        <v>7.9500000000000011</v>
      </c>
      <c r="J90" s="10">
        <v>453.10000000000014</v>
      </c>
    </row>
    <row r="91" spans="1:10" x14ac:dyDescent="0.25">
      <c r="A91" s="14">
        <v>45928</v>
      </c>
      <c r="B91" s="1">
        <v>23.6</v>
      </c>
      <c r="C91" s="1">
        <v>7</v>
      </c>
      <c r="D91" s="2">
        <v>15.3</v>
      </c>
      <c r="E91" s="2">
        <v>0</v>
      </c>
      <c r="F91" s="2"/>
      <c r="G91" s="11">
        <v>5.3000000000000007</v>
      </c>
      <c r="H91" s="11">
        <v>303.34999999999997</v>
      </c>
      <c r="I91" s="11">
        <v>7.3000000000000007</v>
      </c>
      <c r="J91" s="11">
        <v>460.40000000000015</v>
      </c>
    </row>
    <row r="92" spans="1:10" x14ac:dyDescent="0.25">
      <c r="A92" s="14">
        <v>45929</v>
      </c>
      <c r="B92" s="1">
        <v>24.1</v>
      </c>
      <c r="C92" s="1">
        <v>11.2</v>
      </c>
      <c r="D92" s="2">
        <v>17.649999999999999</v>
      </c>
      <c r="E92" s="2">
        <v>0</v>
      </c>
      <c r="F92" s="2"/>
      <c r="G92" s="10">
        <v>7.6499999999999986</v>
      </c>
      <c r="H92" s="10">
        <v>310.99999999999994</v>
      </c>
      <c r="I92" s="10">
        <v>9.6499999999999986</v>
      </c>
      <c r="J92" s="10">
        <v>470.05000000000013</v>
      </c>
    </row>
    <row r="93" spans="1:10" x14ac:dyDescent="0.25">
      <c r="A93" s="14">
        <v>45930</v>
      </c>
      <c r="B93" s="1">
        <v>21.9</v>
      </c>
      <c r="C93" s="1">
        <v>12.1</v>
      </c>
      <c r="D93" s="2">
        <v>17</v>
      </c>
      <c r="E93" s="2">
        <v>0</v>
      </c>
      <c r="F93" s="2"/>
      <c r="G93" s="11">
        <v>7</v>
      </c>
      <c r="H93" s="11">
        <v>317.99999999999994</v>
      </c>
      <c r="I93" s="11">
        <v>9</v>
      </c>
      <c r="J93" s="11">
        <v>479.05000000000013</v>
      </c>
    </row>
    <row r="94" spans="1:10" x14ac:dyDescent="0.25">
      <c r="A94" s="14">
        <v>45931</v>
      </c>
      <c r="B94" s="1">
        <v>23.6</v>
      </c>
      <c r="C94" s="1">
        <v>10.5</v>
      </c>
      <c r="D94" s="2">
        <v>17.05</v>
      </c>
      <c r="E94" s="2">
        <v>0</v>
      </c>
      <c r="F94" s="2"/>
      <c r="G94" s="10">
        <v>7.0500000000000007</v>
      </c>
      <c r="H94" s="10">
        <v>325.04999999999995</v>
      </c>
      <c r="I94" s="10">
        <v>9.0500000000000007</v>
      </c>
      <c r="J94" s="10">
        <v>488.10000000000014</v>
      </c>
    </row>
    <row r="95" spans="1:10" x14ac:dyDescent="0.25">
      <c r="A95" s="14">
        <v>45932</v>
      </c>
      <c r="B95" s="1">
        <v>26.1</v>
      </c>
      <c r="C95" s="1">
        <v>11.4</v>
      </c>
      <c r="D95" s="2">
        <v>18.75</v>
      </c>
      <c r="E95" s="2">
        <v>0</v>
      </c>
      <c r="F95" s="2"/>
      <c r="G95" s="11">
        <v>8.75</v>
      </c>
      <c r="H95" s="11">
        <v>333.79999999999995</v>
      </c>
      <c r="I95" s="11">
        <v>10.75</v>
      </c>
      <c r="J95" s="11">
        <v>498.85000000000014</v>
      </c>
    </row>
    <row r="96" spans="1:10" x14ac:dyDescent="0.25">
      <c r="A96" s="14">
        <v>45933</v>
      </c>
      <c r="B96" s="1">
        <v>28.8</v>
      </c>
      <c r="C96" s="1">
        <v>14.6</v>
      </c>
      <c r="D96" s="2">
        <v>21.7</v>
      </c>
      <c r="E96" s="2">
        <v>0</v>
      </c>
      <c r="F96" s="2"/>
      <c r="G96" s="10">
        <v>11.7</v>
      </c>
      <c r="H96" s="10">
        <v>345.49999999999994</v>
      </c>
      <c r="I96" s="10">
        <v>13.7</v>
      </c>
      <c r="J96" s="10">
        <v>512.55000000000018</v>
      </c>
    </row>
    <row r="97" spans="1:10" x14ac:dyDescent="0.25">
      <c r="A97" s="14">
        <v>45934</v>
      </c>
      <c r="B97" s="1">
        <v>32.1</v>
      </c>
      <c r="C97" s="1">
        <v>18.899999999999999</v>
      </c>
      <c r="D97" s="2">
        <v>25.5</v>
      </c>
      <c r="E97" s="2">
        <v>15.5</v>
      </c>
      <c r="F97" s="2"/>
      <c r="G97" s="11">
        <v>15.5</v>
      </c>
      <c r="H97" s="11">
        <v>360.99999999999994</v>
      </c>
      <c r="I97" s="11">
        <v>17.5</v>
      </c>
      <c r="J97" s="11">
        <v>530.05000000000018</v>
      </c>
    </row>
    <row r="98" spans="1:10" x14ac:dyDescent="0.25">
      <c r="A98" s="14">
        <v>45935</v>
      </c>
      <c r="B98" s="1">
        <v>21.3</v>
      </c>
      <c r="C98" s="1">
        <v>10.8</v>
      </c>
      <c r="D98" s="2">
        <v>16.05</v>
      </c>
      <c r="E98" s="2">
        <v>6.6</v>
      </c>
      <c r="F98" s="2"/>
      <c r="G98" s="10">
        <v>6.0500000000000007</v>
      </c>
      <c r="H98" s="10">
        <v>367.04999999999995</v>
      </c>
      <c r="I98" s="10">
        <v>8.0500000000000007</v>
      </c>
      <c r="J98" s="10">
        <v>538.10000000000014</v>
      </c>
    </row>
    <row r="99" spans="1:10" x14ac:dyDescent="0.25">
      <c r="A99" s="14">
        <v>45936</v>
      </c>
      <c r="B99" s="1">
        <v>19.100000000000001</v>
      </c>
      <c r="C99" s="1">
        <v>7.4</v>
      </c>
      <c r="D99" s="2">
        <v>13.25</v>
      </c>
      <c r="E99" s="2">
        <v>0</v>
      </c>
      <c r="F99" s="2"/>
      <c r="G99" s="11">
        <v>3.25</v>
      </c>
      <c r="H99" s="11">
        <v>370.29999999999995</v>
      </c>
      <c r="I99" s="11">
        <v>5.25</v>
      </c>
      <c r="J99" s="11">
        <v>543.35000000000014</v>
      </c>
    </row>
    <row r="100" spans="1:10" x14ac:dyDescent="0.25">
      <c r="A100" s="14">
        <v>45937</v>
      </c>
      <c r="B100" s="1">
        <v>24.7</v>
      </c>
      <c r="C100" s="1">
        <v>7.8</v>
      </c>
      <c r="D100" s="2">
        <v>16.25</v>
      </c>
      <c r="E100" s="2">
        <v>0</v>
      </c>
      <c r="F100" s="2"/>
      <c r="G100" s="10">
        <v>6.25</v>
      </c>
      <c r="H100" s="10">
        <v>376.54999999999995</v>
      </c>
      <c r="I100" s="10">
        <v>8.25</v>
      </c>
      <c r="J100" s="10">
        <v>551.60000000000014</v>
      </c>
    </row>
    <row r="101" spans="1:10" x14ac:dyDescent="0.25">
      <c r="A101" s="14">
        <v>45938</v>
      </c>
      <c r="B101" s="1">
        <v>26.1</v>
      </c>
      <c r="C101" s="1">
        <v>10.9</v>
      </c>
      <c r="D101" s="2">
        <v>18.5</v>
      </c>
      <c r="E101" s="2">
        <v>0</v>
      </c>
      <c r="F101" s="2"/>
      <c r="G101" s="11">
        <v>8.5</v>
      </c>
      <c r="H101" s="11">
        <v>385.04999999999995</v>
      </c>
      <c r="I101" s="11">
        <v>10.5</v>
      </c>
      <c r="J101" s="11">
        <v>562.10000000000014</v>
      </c>
    </row>
    <row r="102" spans="1:10" x14ac:dyDescent="0.25">
      <c r="A102" s="14">
        <v>45939</v>
      </c>
      <c r="B102" s="1">
        <v>29</v>
      </c>
      <c r="C102" s="1">
        <v>12.2</v>
      </c>
      <c r="D102" s="2">
        <v>20.6</v>
      </c>
      <c r="E102" s="2">
        <v>0</v>
      </c>
      <c r="F102" s="2"/>
      <c r="G102" s="10">
        <v>10.600000000000001</v>
      </c>
      <c r="H102" s="10">
        <v>395.65</v>
      </c>
      <c r="I102" s="10">
        <v>12.600000000000001</v>
      </c>
      <c r="J102" s="10">
        <v>574.70000000000016</v>
      </c>
    </row>
    <row r="103" spans="1:10" x14ac:dyDescent="0.25">
      <c r="A103" s="14">
        <v>45940</v>
      </c>
      <c r="B103" s="1">
        <v>30.9</v>
      </c>
      <c r="C103" s="1">
        <v>14.2</v>
      </c>
      <c r="D103" s="2">
        <v>22.549999999999997</v>
      </c>
      <c r="E103" s="2">
        <v>0</v>
      </c>
      <c r="F103" s="2"/>
      <c r="G103" s="11">
        <v>12.549999999999997</v>
      </c>
      <c r="H103" s="11">
        <v>408.2</v>
      </c>
      <c r="I103" s="11">
        <v>14.549999999999997</v>
      </c>
      <c r="J103" s="11">
        <v>589.25000000000011</v>
      </c>
    </row>
    <row r="104" spans="1:10" x14ac:dyDescent="0.25">
      <c r="A104" s="14">
        <v>45941</v>
      </c>
      <c r="B104" s="1">
        <v>27.1</v>
      </c>
      <c r="C104" s="1">
        <v>15</v>
      </c>
      <c r="D104" s="2">
        <v>21.05</v>
      </c>
      <c r="E104" s="2">
        <v>0</v>
      </c>
      <c r="F104" s="2"/>
      <c r="G104" s="10">
        <v>11.05</v>
      </c>
      <c r="H104" s="10">
        <v>419.25</v>
      </c>
      <c r="I104" s="10">
        <v>13.05</v>
      </c>
      <c r="J104" s="10">
        <v>602.30000000000007</v>
      </c>
    </row>
    <row r="105" spans="1:10" x14ac:dyDescent="0.25">
      <c r="A105" s="14">
        <v>45942</v>
      </c>
      <c r="B105" s="1">
        <v>23.6</v>
      </c>
      <c r="C105" s="1">
        <v>11.5</v>
      </c>
      <c r="D105" s="2">
        <v>17.55</v>
      </c>
      <c r="E105" s="2">
        <v>0</v>
      </c>
      <c r="F105" s="2"/>
      <c r="G105" s="11">
        <v>7.5500000000000007</v>
      </c>
      <c r="H105" s="11">
        <v>426.8</v>
      </c>
      <c r="I105" s="11">
        <v>9.5500000000000007</v>
      </c>
      <c r="J105" s="11">
        <v>611.85</v>
      </c>
    </row>
    <row r="106" spans="1:10" x14ac:dyDescent="0.25">
      <c r="A106" s="14">
        <v>45943</v>
      </c>
      <c r="B106" s="1">
        <v>28.1</v>
      </c>
      <c r="C106" s="1">
        <v>10.1</v>
      </c>
      <c r="D106" s="2">
        <v>19.100000000000001</v>
      </c>
      <c r="E106" s="2">
        <v>0</v>
      </c>
      <c r="F106" s="2"/>
      <c r="G106" s="10">
        <v>9.1000000000000014</v>
      </c>
      <c r="H106" s="10">
        <v>435.90000000000003</v>
      </c>
      <c r="I106" s="10">
        <v>11.100000000000001</v>
      </c>
      <c r="J106" s="10">
        <v>622.95000000000005</v>
      </c>
    </row>
    <row r="107" spans="1:10" x14ac:dyDescent="0.25">
      <c r="A107" s="14">
        <v>45944</v>
      </c>
      <c r="B107" s="1">
        <v>30.4</v>
      </c>
      <c r="C107" s="1">
        <v>11.7</v>
      </c>
      <c r="D107" s="2">
        <v>21.049999999999997</v>
      </c>
      <c r="E107" s="2">
        <v>0</v>
      </c>
      <c r="F107" s="2"/>
      <c r="G107" s="11">
        <v>11.049999999999997</v>
      </c>
      <c r="H107" s="11">
        <v>446.95000000000005</v>
      </c>
      <c r="I107" s="11">
        <v>13.049999999999997</v>
      </c>
      <c r="J107" s="11">
        <v>636</v>
      </c>
    </row>
    <row r="108" spans="1:10" x14ac:dyDescent="0.25">
      <c r="A108" s="14">
        <v>45945</v>
      </c>
      <c r="B108" s="1">
        <v>30.1</v>
      </c>
      <c r="C108" s="1">
        <v>15.7</v>
      </c>
      <c r="D108" s="2">
        <v>22.9</v>
      </c>
      <c r="E108" s="2">
        <v>0</v>
      </c>
      <c r="F108" s="2"/>
      <c r="G108" s="10">
        <v>12.899999999999999</v>
      </c>
      <c r="H108" s="10">
        <v>459.85</v>
      </c>
      <c r="I108" s="10">
        <v>14.899999999999999</v>
      </c>
      <c r="J108" s="10">
        <v>650.9</v>
      </c>
    </row>
    <row r="109" spans="1:10" x14ac:dyDescent="0.25">
      <c r="A109" s="14">
        <v>45946</v>
      </c>
      <c r="B109" s="1">
        <v>27.8</v>
      </c>
      <c r="C109" s="1">
        <v>16.8</v>
      </c>
      <c r="D109" s="2">
        <v>22.3</v>
      </c>
      <c r="E109" s="2">
        <v>2.9</v>
      </c>
      <c r="F109" s="2"/>
      <c r="G109" s="11">
        <v>12.3</v>
      </c>
      <c r="H109" s="11">
        <v>472.15000000000003</v>
      </c>
      <c r="I109" s="11">
        <v>14.3</v>
      </c>
      <c r="J109" s="11">
        <v>665.19999999999993</v>
      </c>
    </row>
    <row r="110" spans="1:10" x14ac:dyDescent="0.25">
      <c r="A110" s="14">
        <v>45947</v>
      </c>
      <c r="B110" s="1">
        <v>18.5</v>
      </c>
      <c r="C110" s="1">
        <v>13</v>
      </c>
      <c r="D110" s="2">
        <v>15.75</v>
      </c>
      <c r="E110" s="2">
        <v>14.4</v>
      </c>
      <c r="F110" s="2"/>
      <c r="G110" s="10">
        <v>5.75</v>
      </c>
      <c r="H110" s="10">
        <v>477.90000000000003</v>
      </c>
      <c r="I110" s="10">
        <v>7.75</v>
      </c>
      <c r="J110" s="10">
        <v>672.94999999999993</v>
      </c>
    </row>
    <row r="111" spans="1:10" x14ac:dyDescent="0.25">
      <c r="A111" s="14">
        <v>45948</v>
      </c>
      <c r="B111" s="1">
        <v>23.2</v>
      </c>
      <c r="C111" s="1">
        <v>9.6</v>
      </c>
      <c r="D111" s="2">
        <v>16.399999999999999</v>
      </c>
      <c r="E111" s="2">
        <v>0</v>
      </c>
      <c r="F111" s="2"/>
      <c r="G111" s="11">
        <v>6.3999999999999986</v>
      </c>
      <c r="H111" s="11">
        <v>484.3</v>
      </c>
      <c r="I111" s="11">
        <v>8.3999999999999986</v>
      </c>
      <c r="J111" s="11">
        <v>681.34999999999991</v>
      </c>
    </row>
    <row r="112" spans="1:10" x14ac:dyDescent="0.25">
      <c r="A112" s="14">
        <v>45949</v>
      </c>
      <c r="B112" s="1">
        <v>24.8</v>
      </c>
      <c r="C112" s="1">
        <v>12.6</v>
      </c>
      <c r="D112" s="2">
        <v>18.7</v>
      </c>
      <c r="E112" s="2">
        <v>0</v>
      </c>
      <c r="F112" s="2"/>
      <c r="G112" s="10">
        <v>8.6999999999999993</v>
      </c>
      <c r="H112" s="10">
        <v>493</v>
      </c>
      <c r="I112" s="10">
        <v>10.7</v>
      </c>
      <c r="J112" s="10">
        <v>692.05</v>
      </c>
    </row>
    <row r="113" spans="1:10" x14ac:dyDescent="0.25">
      <c r="A113" s="14">
        <v>45950</v>
      </c>
      <c r="B113" s="1">
        <v>25.8</v>
      </c>
      <c r="C113" s="1">
        <v>13.6</v>
      </c>
      <c r="D113" s="2">
        <v>19.7</v>
      </c>
      <c r="E113" s="2">
        <v>0</v>
      </c>
      <c r="F113" s="2"/>
      <c r="G113" s="11">
        <v>9.6999999999999993</v>
      </c>
      <c r="H113" s="11">
        <v>502.7</v>
      </c>
      <c r="I113" s="11">
        <v>11.7</v>
      </c>
      <c r="J113" s="11">
        <v>703.75</v>
      </c>
    </row>
    <row r="114" spans="1:10" x14ac:dyDescent="0.25">
      <c r="A114" s="14">
        <v>45951</v>
      </c>
      <c r="B114" s="1">
        <v>30.3</v>
      </c>
      <c r="C114" s="1">
        <v>15.5</v>
      </c>
      <c r="D114" s="2">
        <v>22.9</v>
      </c>
      <c r="E114" s="2">
        <v>0</v>
      </c>
      <c r="F114" s="2"/>
      <c r="G114" s="10">
        <v>12.899999999999999</v>
      </c>
      <c r="H114" s="10">
        <v>515.6</v>
      </c>
      <c r="I114" s="10">
        <v>14.899999999999999</v>
      </c>
      <c r="J114" s="10">
        <v>718.65</v>
      </c>
    </row>
    <row r="115" spans="1:10" x14ac:dyDescent="0.25">
      <c r="A115" s="14">
        <v>45952</v>
      </c>
      <c r="B115" s="1">
        <v>27.9</v>
      </c>
      <c r="C115" s="1">
        <v>17.5</v>
      </c>
      <c r="D115" s="2">
        <v>22.7</v>
      </c>
      <c r="E115" s="2">
        <v>0</v>
      </c>
      <c r="F115" s="2"/>
      <c r="G115" s="11">
        <v>12.7</v>
      </c>
      <c r="H115" s="11">
        <v>528.30000000000007</v>
      </c>
      <c r="I115" s="11">
        <v>14.7</v>
      </c>
      <c r="J115" s="11">
        <v>733.35</v>
      </c>
    </row>
    <row r="116" spans="1:10" x14ac:dyDescent="0.25">
      <c r="A116" s="14">
        <v>45953</v>
      </c>
      <c r="B116" s="1">
        <v>31.5</v>
      </c>
      <c r="C116" s="1">
        <v>19.3</v>
      </c>
      <c r="D116" s="2">
        <v>25.4</v>
      </c>
      <c r="E116" s="2">
        <v>6.9</v>
      </c>
      <c r="F116" s="2"/>
      <c r="G116" s="10">
        <v>15.399999999999999</v>
      </c>
      <c r="H116" s="10">
        <v>543.70000000000005</v>
      </c>
      <c r="I116" s="10">
        <v>17.399999999999999</v>
      </c>
      <c r="J116" s="10">
        <v>750.75</v>
      </c>
    </row>
    <row r="117" spans="1:10" x14ac:dyDescent="0.25">
      <c r="A117" s="14">
        <v>45954</v>
      </c>
      <c r="B117" s="1">
        <v>25.5</v>
      </c>
      <c r="C117" s="1">
        <v>16.600000000000001</v>
      </c>
      <c r="D117" s="2">
        <v>21.05</v>
      </c>
      <c r="E117" s="2">
        <v>16.899999999999999</v>
      </c>
      <c r="F117" s="2"/>
      <c r="G117" s="11">
        <v>11.05</v>
      </c>
      <c r="H117" s="11">
        <v>554.75</v>
      </c>
      <c r="I117" s="11">
        <v>13.05</v>
      </c>
      <c r="J117" s="11">
        <v>763.8</v>
      </c>
    </row>
    <row r="118" spans="1:10" x14ac:dyDescent="0.25">
      <c r="A118" s="14">
        <v>45955</v>
      </c>
      <c r="B118" s="1">
        <v>20.8</v>
      </c>
      <c r="C118" s="1">
        <v>11.4</v>
      </c>
      <c r="D118" s="2">
        <v>16.100000000000001</v>
      </c>
      <c r="E118" s="2">
        <v>25.9</v>
      </c>
      <c r="F118" s="2"/>
      <c r="G118" s="10">
        <v>6.1000000000000014</v>
      </c>
      <c r="H118" s="10">
        <v>560.85</v>
      </c>
      <c r="I118" s="10">
        <v>8.1000000000000014</v>
      </c>
      <c r="J118" s="10">
        <v>771.9</v>
      </c>
    </row>
    <row r="119" spans="1:10" x14ac:dyDescent="0.25">
      <c r="A119" s="14">
        <v>45956</v>
      </c>
      <c r="B119" s="1">
        <v>25.2</v>
      </c>
      <c r="C119" s="1">
        <v>8.9</v>
      </c>
      <c r="D119" s="2">
        <v>17.05</v>
      </c>
      <c r="E119" s="2">
        <v>0</v>
      </c>
      <c r="F119" s="2"/>
      <c r="G119" s="11">
        <v>7.0500000000000007</v>
      </c>
      <c r="H119" s="11">
        <v>567.9</v>
      </c>
      <c r="I119" s="11">
        <v>9.0500000000000007</v>
      </c>
      <c r="J119" s="11">
        <v>780.94999999999993</v>
      </c>
    </row>
    <row r="120" spans="1:10" x14ac:dyDescent="0.25">
      <c r="A120" s="14">
        <v>45957</v>
      </c>
      <c r="B120" s="1">
        <v>14.7</v>
      </c>
      <c r="C120" s="1">
        <v>8</v>
      </c>
      <c r="D120" s="2">
        <v>11.35</v>
      </c>
      <c r="E120" s="2">
        <v>1.9</v>
      </c>
      <c r="F120" s="2"/>
      <c r="G120" s="10">
        <v>1.3499999999999996</v>
      </c>
      <c r="H120" s="10">
        <v>569.25</v>
      </c>
      <c r="I120" s="10">
        <v>3.3499999999999996</v>
      </c>
      <c r="J120" s="10">
        <v>784.3</v>
      </c>
    </row>
    <row r="121" spans="1:10" x14ac:dyDescent="0.25">
      <c r="A121" s="14">
        <v>45958</v>
      </c>
      <c r="B121" s="1">
        <v>13.4</v>
      </c>
      <c r="C121" s="1">
        <v>7.8</v>
      </c>
      <c r="D121" s="2">
        <v>10.6</v>
      </c>
      <c r="E121" s="2">
        <v>0.5</v>
      </c>
      <c r="F121" s="2"/>
      <c r="G121" s="11">
        <v>0.59999999999999964</v>
      </c>
      <c r="H121" s="11">
        <v>569.85</v>
      </c>
      <c r="I121" s="11">
        <v>2.5999999999999996</v>
      </c>
      <c r="J121" s="11">
        <v>786.9</v>
      </c>
    </row>
    <row r="122" spans="1:10" x14ac:dyDescent="0.25">
      <c r="A122" s="14">
        <v>45959</v>
      </c>
      <c r="B122" s="1">
        <v>17.5</v>
      </c>
      <c r="C122" s="1">
        <v>6.3</v>
      </c>
      <c r="D122" s="2">
        <v>11.9</v>
      </c>
      <c r="E122" s="2">
        <v>0</v>
      </c>
      <c r="F122" s="2"/>
      <c r="G122" s="10">
        <v>1.9000000000000004</v>
      </c>
      <c r="H122" s="10">
        <v>571.75</v>
      </c>
      <c r="I122" s="10">
        <v>3.9000000000000004</v>
      </c>
      <c r="J122" s="10">
        <v>790.8</v>
      </c>
    </row>
    <row r="123" spans="1:10" x14ac:dyDescent="0.25">
      <c r="A123" s="14">
        <v>45960</v>
      </c>
      <c r="B123" s="1">
        <v>22.2</v>
      </c>
      <c r="C123" s="1">
        <v>9.6999999999999993</v>
      </c>
      <c r="D123" s="2">
        <v>15.95</v>
      </c>
      <c r="E123" s="2">
        <v>0</v>
      </c>
      <c r="F123" s="2"/>
      <c r="G123" s="11">
        <v>5.9499999999999993</v>
      </c>
      <c r="H123" s="11">
        <v>577.70000000000005</v>
      </c>
      <c r="I123" s="11">
        <v>7.9499999999999993</v>
      </c>
      <c r="J123" s="11">
        <v>798.75</v>
      </c>
    </row>
    <row r="124" spans="1:10" x14ac:dyDescent="0.25">
      <c r="A124" s="14">
        <v>45961</v>
      </c>
      <c r="B124" s="1">
        <v>26.5</v>
      </c>
      <c r="C124" s="1">
        <v>11.1</v>
      </c>
      <c r="D124" s="2">
        <v>18.8</v>
      </c>
      <c r="E124" s="2">
        <v>0</v>
      </c>
      <c r="F124" s="2"/>
      <c r="G124" s="10">
        <v>8.8000000000000007</v>
      </c>
      <c r="H124" s="10">
        <v>586.5</v>
      </c>
      <c r="I124" s="10">
        <v>10.8</v>
      </c>
      <c r="J124" s="10">
        <v>809.55</v>
      </c>
    </row>
    <row r="125" spans="1:10" x14ac:dyDescent="0.25">
      <c r="A125" s="14">
        <v>45962</v>
      </c>
      <c r="B125" s="1">
        <v>23.3</v>
      </c>
      <c r="C125" s="1">
        <v>15.4</v>
      </c>
      <c r="D125" s="2">
        <v>19.350000000000001</v>
      </c>
      <c r="E125" s="2">
        <v>19.8</v>
      </c>
      <c r="F125" s="2"/>
      <c r="G125" s="11">
        <v>9.3500000000000014</v>
      </c>
      <c r="H125" s="11">
        <v>595.85</v>
      </c>
      <c r="I125" s="11">
        <v>11.350000000000001</v>
      </c>
      <c r="J125" s="11">
        <v>820.9</v>
      </c>
    </row>
    <row r="126" spans="1:10" x14ac:dyDescent="0.25">
      <c r="A126" s="14">
        <v>45963</v>
      </c>
      <c r="B126" s="1">
        <v>26.8</v>
      </c>
      <c r="C126" s="1">
        <v>14.8</v>
      </c>
      <c r="D126" s="2">
        <v>20.8</v>
      </c>
      <c r="E126" s="2">
        <v>0.5</v>
      </c>
      <c r="F126" s="2"/>
      <c r="G126" s="10">
        <v>10.8</v>
      </c>
      <c r="H126" s="10">
        <v>606.65</v>
      </c>
      <c r="I126" s="10">
        <v>12.8</v>
      </c>
      <c r="J126" s="10">
        <v>833.69999999999993</v>
      </c>
    </row>
    <row r="127" spans="1:10" x14ac:dyDescent="0.25">
      <c r="A127" s="14">
        <v>45964</v>
      </c>
      <c r="B127" s="1">
        <v>29.8</v>
      </c>
      <c r="C127" s="1">
        <v>14.2</v>
      </c>
      <c r="D127" s="2">
        <v>22</v>
      </c>
      <c r="E127" s="2">
        <v>0</v>
      </c>
      <c r="F127" s="2"/>
      <c r="G127" s="11">
        <v>12</v>
      </c>
      <c r="H127" s="11">
        <v>618.65</v>
      </c>
      <c r="I127" s="11">
        <v>14</v>
      </c>
      <c r="J127" s="11">
        <v>847.69999999999993</v>
      </c>
    </row>
    <row r="128" spans="1:10" x14ac:dyDescent="0.25">
      <c r="A128" s="14">
        <v>45965</v>
      </c>
      <c r="B128" s="1">
        <v>24.2</v>
      </c>
      <c r="C128" s="1">
        <v>16.899999999999999</v>
      </c>
      <c r="D128" s="2">
        <v>20.549999999999997</v>
      </c>
      <c r="E128" s="2">
        <v>10</v>
      </c>
      <c r="F128" s="2"/>
      <c r="G128" s="10">
        <v>10.549999999999997</v>
      </c>
      <c r="H128" s="10">
        <v>629.19999999999993</v>
      </c>
      <c r="I128" s="10">
        <v>12.549999999999997</v>
      </c>
      <c r="J128" s="10">
        <v>860.24999999999989</v>
      </c>
    </row>
    <row r="129" spans="1:10" x14ac:dyDescent="0.25">
      <c r="A129" s="14">
        <v>45966</v>
      </c>
      <c r="B129" s="1">
        <v>23.5</v>
      </c>
      <c r="C129" s="1">
        <v>13.2</v>
      </c>
      <c r="D129" s="2">
        <v>18.350000000000001</v>
      </c>
      <c r="E129" s="2">
        <v>0</v>
      </c>
      <c r="F129" s="2"/>
      <c r="G129" s="11">
        <v>8.3500000000000014</v>
      </c>
      <c r="H129" s="11">
        <v>637.54999999999995</v>
      </c>
      <c r="I129" s="11">
        <v>10.350000000000001</v>
      </c>
      <c r="J129" s="11">
        <v>870.59999999999991</v>
      </c>
    </row>
    <row r="130" spans="1:10" x14ac:dyDescent="0.25">
      <c r="A130" s="14">
        <v>45967</v>
      </c>
      <c r="B130" s="1">
        <v>22.4</v>
      </c>
      <c r="C130" s="1">
        <v>12.8</v>
      </c>
      <c r="D130" s="2">
        <v>17.600000000000001</v>
      </c>
      <c r="E130" s="2">
        <v>0.1</v>
      </c>
      <c r="F130" s="2"/>
      <c r="G130" s="10">
        <v>7.6000000000000014</v>
      </c>
      <c r="H130" s="10">
        <v>645.15</v>
      </c>
      <c r="I130" s="10">
        <v>9.6000000000000014</v>
      </c>
      <c r="J130" s="10">
        <v>880.19999999999993</v>
      </c>
    </row>
    <row r="131" spans="1:10" x14ac:dyDescent="0.25">
      <c r="A131" s="14">
        <v>45968</v>
      </c>
      <c r="B131" s="1">
        <v>16.3</v>
      </c>
      <c r="C131" s="1">
        <v>11</v>
      </c>
      <c r="D131" s="2">
        <v>13.65</v>
      </c>
      <c r="E131" s="2">
        <v>17.100000000000001</v>
      </c>
      <c r="F131" s="2"/>
      <c r="G131" s="11">
        <v>3.6500000000000004</v>
      </c>
      <c r="H131" s="11">
        <v>648.79999999999995</v>
      </c>
      <c r="I131" s="11">
        <v>5.65</v>
      </c>
      <c r="J131" s="11">
        <v>885.84999999999991</v>
      </c>
    </row>
    <row r="132" spans="1:10" x14ac:dyDescent="0.25">
      <c r="A132" s="14">
        <v>45969</v>
      </c>
      <c r="B132" s="1">
        <v>21</v>
      </c>
      <c r="C132" s="1">
        <v>7</v>
      </c>
      <c r="D132" s="2">
        <v>14</v>
      </c>
      <c r="E132" s="2">
        <v>0</v>
      </c>
      <c r="F132" s="2"/>
      <c r="G132" s="10">
        <v>4</v>
      </c>
      <c r="H132" s="10">
        <v>652.79999999999995</v>
      </c>
      <c r="I132" s="10">
        <v>6</v>
      </c>
      <c r="J132" s="10">
        <v>891.84999999999991</v>
      </c>
    </row>
    <row r="133" spans="1:10" x14ac:dyDescent="0.25">
      <c r="A133" s="14">
        <v>45970</v>
      </c>
      <c r="B133" s="1">
        <v>23.5</v>
      </c>
      <c r="C133" s="1">
        <v>10.5</v>
      </c>
      <c r="D133" s="2">
        <v>17</v>
      </c>
      <c r="E133" s="2">
        <v>0</v>
      </c>
      <c r="F133" s="2"/>
      <c r="G133" s="11">
        <v>7</v>
      </c>
      <c r="H133" s="11">
        <v>659.8</v>
      </c>
      <c r="I133" s="11">
        <v>9</v>
      </c>
      <c r="J133" s="11">
        <v>900.84999999999991</v>
      </c>
    </row>
    <row r="134" spans="1:10" x14ac:dyDescent="0.25">
      <c r="A134" s="14">
        <v>45971</v>
      </c>
      <c r="B134" s="1">
        <v>25.9</v>
      </c>
      <c r="C134" s="1">
        <v>12.9</v>
      </c>
      <c r="D134" s="2">
        <v>19.399999999999999</v>
      </c>
      <c r="E134" s="2">
        <v>0</v>
      </c>
      <c r="F134" s="2"/>
      <c r="G134" s="10">
        <v>9.3999999999999986</v>
      </c>
      <c r="H134" s="10">
        <v>669.19999999999993</v>
      </c>
      <c r="I134" s="10">
        <v>11.399999999999999</v>
      </c>
      <c r="J134" s="10">
        <v>912.24999999999989</v>
      </c>
    </row>
    <row r="135" spans="1:10" x14ac:dyDescent="0.25">
      <c r="A135" s="14">
        <v>45972</v>
      </c>
      <c r="B135" s="1">
        <v>28.8</v>
      </c>
      <c r="C135" s="1">
        <v>16</v>
      </c>
      <c r="D135" s="2">
        <v>22.4</v>
      </c>
      <c r="E135" s="2">
        <v>2.2999999999999998</v>
      </c>
      <c r="F135" s="2"/>
      <c r="G135" s="11">
        <v>12.399999999999999</v>
      </c>
      <c r="H135" s="11">
        <v>681.59999999999991</v>
      </c>
      <c r="I135" s="11">
        <v>14.399999999999999</v>
      </c>
      <c r="J135" s="11">
        <v>926.64999999999986</v>
      </c>
    </row>
    <row r="136" spans="1:10" x14ac:dyDescent="0.25">
      <c r="A136" s="14">
        <v>45973</v>
      </c>
      <c r="B136" s="1">
        <v>24.4</v>
      </c>
      <c r="C136" s="1">
        <v>13.5</v>
      </c>
      <c r="D136" s="2">
        <v>18.95</v>
      </c>
      <c r="E136" s="2">
        <v>1.4</v>
      </c>
      <c r="F136" s="2"/>
      <c r="G136" s="10">
        <v>8.9499999999999993</v>
      </c>
      <c r="H136" s="10">
        <v>690.55</v>
      </c>
      <c r="I136" s="10">
        <v>10.95</v>
      </c>
      <c r="J136" s="10">
        <v>937.59999999999991</v>
      </c>
    </row>
    <row r="137" spans="1:10" x14ac:dyDescent="0.25">
      <c r="A137" s="14">
        <v>45974</v>
      </c>
      <c r="B137" s="1">
        <v>28.1</v>
      </c>
      <c r="C137" s="1">
        <v>12.3</v>
      </c>
      <c r="D137" s="2">
        <v>20.200000000000003</v>
      </c>
      <c r="E137" s="2">
        <v>0</v>
      </c>
      <c r="F137" s="2"/>
      <c r="G137" s="11">
        <v>10.200000000000003</v>
      </c>
      <c r="H137" s="11">
        <v>700.75</v>
      </c>
      <c r="I137" s="11">
        <v>12.200000000000003</v>
      </c>
      <c r="J137" s="11">
        <v>949.8</v>
      </c>
    </row>
    <row r="138" spans="1:10" x14ac:dyDescent="0.25">
      <c r="A138" s="14">
        <v>45975</v>
      </c>
      <c r="B138" s="1">
        <v>30.8</v>
      </c>
      <c r="C138" s="1">
        <v>15.9</v>
      </c>
      <c r="D138" s="2">
        <v>23.35</v>
      </c>
      <c r="E138" s="2">
        <v>0</v>
      </c>
      <c r="F138" s="2"/>
      <c r="G138" s="10">
        <v>13.350000000000001</v>
      </c>
      <c r="H138" s="10">
        <v>714.1</v>
      </c>
      <c r="I138" s="10">
        <v>15.350000000000001</v>
      </c>
      <c r="J138" s="10">
        <v>965.15</v>
      </c>
    </row>
    <row r="139" spans="1:10" x14ac:dyDescent="0.25">
      <c r="A139" s="14">
        <v>45976</v>
      </c>
      <c r="B139" s="1">
        <v>31.3</v>
      </c>
      <c r="C139" s="1">
        <v>18.2</v>
      </c>
      <c r="D139" s="2">
        <v>24.75</v>
      </c>
      <c r="E139" s="2">
        <v>5.0999999999999996</v>
      </c>
      <c r="F139" s="2"/>
      <c r="G139" s="11">
        <v>14.75</v>
      </c>
      <c r="H139" s="11">
        <v>728.85</v>
      </c>
      <c r="I139" s="11">
        <v>16.75</v>
      </c>
      <c r="J139" s="11">
        <v>981.9</v>
      </c>
    </row>
    <row r="140" spans="1:10" x14ac:dyDescent="0.25">
      <c r="A140" s="14">
        <v>45977</v>
      </c>
      <c r="B140" s="1">
        <v>24.4</v>
      </c>
      <c r="C140" s="1">
        <v>14.8</v>
      </c>
      <c r="D140" s="2">
        <v>19.600000000000001</v>
      </c>
      <c r="E140" s="2">
        <v>0</v>
      </c>
      <c r="F140" s="2"/>
      <c r="G140" s="10">
        <v>9.6000000000000014</v>
      </c>
      <c r="H140" s="10">
        <v>738.45</v>
      </c>
      <c r="I140" s="10">
        <v>11.600000000000001</v>
      </c>
      <c r="J140" s="10">
        <v>993.5</v>
      </c>
    </row>
    <row r="141" spans="1:10" x14ac:dyDescent="0.25">
      <c r="A141" s="14">
        <v>45978</v>
      </c>
      <c r="B141" s="1">
        <v>27</v>
      </c>
      <c r="C141" s="1">
        <v>9.1</v>
      </c>
      <c r="D141" s="2">
        <v>18.05</v>
      </c>
      <c r="E141" s="2">
        <v>0</v>
      </c>
      <c r="F141" s="2"/>
      <c r="G141" s="11">
        <v>8.0500000000000007</v>
      </c>
      <c r="H141" s="11">
        <v>746.5</v>
      </c>
      <c r="I141" s="11">
        <v>10.050000000000001</v>
      </c>
      <c r="J141" s="11">
        <v>1003.55</v>
      </c>
    </row>
    <row r="142" spans="1:10" x14ac:dyDescent="0.25">
      <c r="A142" s="14">
        <v>45979</v>
      </c>
      <c r="B142" s="1">
        <v>30.3</v>
      </c>
      <c r="C142" s="1">
        <v>15.7</v>
      </c>
      <c r="D142" s="2">
        <v>23</v>
      </c>
      <c r="E142" s="2">
        <v>0</v>
      </c>
      <c r="F142" s="2"/>
      <c r="G142" s="10">
        <v>13</v>
      </c>
      <c r="H142" s="10">
        <v>759.5</v>
      </c>
      <c r="I142" s="10">
        <v>15</v>
      </c>
      <c r="J142" s="10">
        <v>1018.55</v>
      </c>
    </row>
    <row r="143" spans="1:10" x14ac:dyDescent="0.25">
      <c r="A143" s="14">
        <v>45980</v>
      </c>
      <c r="B143" s="1">
        <v>29.2</v>
      </c>
      <c r="C143" s="1">
        <v>14.5</v>
      </c>
      <c r="D143" s="2">
        <v>21.85</v>
      </c>
      <c r="E143" s="2">
        <v>0</v>
      </c>
      <c r="F143" s="2"/>
      <c r="G143" s="11">
        <v>11.850000000000001</v>
      </c>
      <c r="H143" s="11">
        <v>771.35</v>
      </c>
      <c r="I143" s="11">
        <v>13.850000000000001</v>
      </c>
      <c r="J143" s="11">
        <v>1032.3999999999999</v>
      </c>
    </row>
    <row r="144" spans="1:10" x14ac:dyDescent="0.25">
      <c r="A144" s="14">
        <v>45981</v>
      </c>
      <c r="B144" s="1">
        <v>32.6</v>
      </c>
      <c r="C144" s="1">
        <v>16.899999999999999</v>
      </c>
      <c r="D144" s="2">
        <v>24.75</v>
      </c>
      <c r="E144" s="2">
        <v>0.1</v>
      </c>
      <c r="F144" s="2"/>
      <c r="G144" s="10">
        <v>14.75</v>
      </c>
      <c r="H144" s="10">
        <v>786.1</v>
      </c>
      <c r="I144" s="10">
        <v>16.75</v>
      </c>
      <c r="J144" s="10">
        <v>1049.1499999999999</v>
      </c>
    </row>
    <row r="145" spans="1:10" x14ac:dyDescent="0.25">
      <c r="A145" s="14">
        <v>45982</v>
      </c>
      <c r="B145" s="1">
        <v>24.5</v>
      </c>
      <c r="C145" s="1">
        <v>13.9</v>
      </c>
      <c r="D145" s="2">
        <v>19.2</v>
      </c>
      <c r="E145" s="2">
        <v>0</v>
      </c>
      <c r="F145" s="2"/>
      <c r="G145" s="11">
        <v>9.1999999999999993</v>
      </c>
      <c r="H145" s="11">
        <v>795.30000000000007</v>
      </c>
      <c r="I145" s="11">
        <v>11.2</v>
      </c>
      <c r="J145" s="11">
        <v>1060.3499999999999</v>
      </c>
    </row>
    <row r="146" spans="1:10" x14ac:dyDescent="0.25">
      <c r="A146" s="14">
        <v>45983</v>
      </c>
      <c r="B146" s="1">
        <v>23.9</v>
      </c>
      <c r="C146" s="1">
        <v>11.6</v>
      </c>
      <c r="D146" s="2">
        <v>17.75</v>
      </c>
      <c r="E146" s="2">
        <v>0</v>
      </c>
      <c r="F146" s="2"/>
      <c r="G146" s="10">
        <v>7.75</v>
      </c>
      <c r="H146" s="10">
        <v>803.05000000000007</v>
      </c>
      <c r="I146" s="10">
        <v>9.75</v>
      </c>
      <c r="J146" s="10">
        <v>1070.0999999999999</v>
      </c>
    </row>
    <row r="147" spans="1:10" x14ac:dyDescent="0.25">
      <c r="A147" s="14">
        <v>45984</v>
      </c>
      <c r="B147" s="1">
        <v>27.8</v>
      </c>
      <c r="C147" s="1">
        <v>11.9</v>
      </c>
      <c r="D147" s="2">
        <v>19.850000000000001</v>
      </c>
      <c r="E147" s="2">
        <v>0</v>
      </c>
      <c r="F147" s="2"/>
      <c r="G147" s="11">
        <v>9.8500000000000014</v>
      </c>
      <c r="H147" s="11">
        <v>812.90000000000009</v>
      </c>
      <c r="I147" s="11">
        <v>11.850000000000001</v>
      </c>
      <c r="J147" s="11">
        <v>1081.9499999999998</v>
      </c>
    </row>
    <row r="148" spans="1:10" x14ac:dyDescent="0.25">
      <c r="A148" s="14">
        <v>45985</v>
      </c>
      <c r="B148" s="1">
        <v>30.8</v>
      </c>
      <c r="C148" s="1">
        <v>14.8</v>
      </c>
      <c r="D148" s="2">
        <v>22.8</v>
      </c>
      <c r="E148" s="2">
        <v>0</v>
      </c>
      <c r="F148" s="2"/>
      <c r="G148" s="10">
        <v>12.8</v>
      </c>
      <c r="H148" s="10">
        <v>825.7</v>
      </c>
      <c r="I148" s="10">
        <v>14.8</v>
      </c>
      <c r="J148" s="10">
        <v>1096.7499999999998</v>
      </c>
    </row>
    <row r="149" spans="1:10" x14ac:dyDescent="0.25">
      <c r="A149" s="14">
        <v>45986</v>
      </c>
      <c r="B149" s="1">
        <v>33.9</v>
      </c>
      <c r="C149" s="1">
        <v>17.3</v>
      </c>
      <c r="D149" s="2">
        <v>25.6</v>
      </c>
      <c r="E149" s="2">
        <v>0</v>
      </c>
      <c r="F149" s="2"/>
      <c r="G149" s="11">
        <v>15.600000000000001</v>
      </c>
      <c r="H149" s="11">
        <v>841.30000000000007</v>
      </c>
      <c r="I149" s="11">
        <v>17.600000000000001</v>
      </c>
      <c r="J149" s="11">
        <v>1114.3499999999997</v>
      </c>
    </row>
    <row r="150" spans="1:10" x14ac:dyDescent="0.25">
      <c r="A150" s="14">
        <v>45987</v>
      </c>
      <c r="B150" s="1">
        <v>34</v>
      </c>
      <c r="C150" s="1">
        <v>18.3</v>
      </c>
      <c r="D150" s="2">
        <v>26.15</v>
      </c>
      <c r="E150" s="2">
        <v>0</v>
      </c>
      <c r="F150" s="2"/>
      <c r="G150" s="10">
        <v>16.149999999999999</v>
      </c>
      <c r="H150" s="10">
        <v>857.45</v>
      </c>
      <c r="I150" s="10">
        <v>18.149999999999999</v>
      </c>
      <c r="J150" s="10">
        <v>1132.4999999999998</v>
      </c>
    </row>
    <row r="151" spans="1:10" x14ac:dyDescent="0.25">
      <c r="A151" s="14">
        <v>45988</v>
      </c>
      <c r="B151" s="1">
        <v>32.4</v>
      </c>
      <c r="C151" s="1">
        <v>19.3</v>
      </c>
      <c r="D151" s="2">
        <v>25.85</v>
      </c>
      <c r="E151" s="2">
        <v>2.9</v>
      </c>
      <c r="F151" s="2"/>
      <c r="G151" s="11">
        <v>15.850000000000001</v>
      </c>
      <c r="H151" s="11">
        <v>873.30000000000007</v>
      </c>
      <c r="I151" s="11">
        <v>17.850000000000001</v>
      </c>
      <c r="J151" s="11">
        <v>1150.3499999999997</v>
      </c>
    </row>
    <row r="152" spans="1:10" x14ac:dyDescent="0.25">
      <c r="A152" s="14">
        <v>45989</v>
      </c>
      <c r="B152" s="1">
        <v>30.1</v>
      </c>
      <c r="C152" s="1">
        <v>20.3</v>
      </c>
      <c r="D152" s="2">
        <v>25.200000000000003</v>
      </c>
      <c r="E152" s="2">
        <v>0.5</v>
      </c>
      <c r="F152" s="2"/>
      <c r="G152" s="10">
        <v>15.200000000000003</v>
      </c>
      <c r="H152" s="10">
        <v>888.50000000000011</v>
      </c>
      <c r="I152" s="10">
        <v>17.200000000000003</v>
      </c>
      <c r="J152" s="10">
        <v>1167.5499999999997</v>
      </c>
    </row>
    <row r="153" spans="1:10" x14ac:dyDescent="0.25">
      <c r="A153" s="14">
        <v>45990</v>
      </c>
      <c r="B153" s="1">
        <v>27.6</v>
      </c>
      <c r="C153" s="1">
        <v>19.2</v>
      </c>
      <c r="D153" s="2">
        <v>23.4</v>
      </c>
      <c r="E153" s="2">
        <v>2</v>
      </c>
      <c r="F153" s="2"/>
      <c r="G153" s="11">
        <v>13.399999999999999</v>
      </c>
      <c r="H153" s="11">
        <v>901.90000000000009</v>
      </c>
      <c r="I153" s="11">
        <v>15.399999999999999</v>
      </c>
      <c r="J153" s="11">
        <v>1182.9499999999998</v>
      </c>
    </row>
    <row r="154" spans="1:10" x14ac:dyDescent="0.25">
      <c r="A154" s="14">
        <v>45991</v>
      </c>
      <c r="B154" s="1">
        <v>22.9</v>
      </c>
      <c r="C154" s="1">
        <v>16.2</v>
      </c>
      <c r="D154" s="2">
        <v>19.549999999999997</v>
      </c>
      <c r="E154" s="2">
        <v>0.7</v>
      </c>
      <c r="F154" s="2"/>
      <c r="G154" s="10">
        <v>9.5499999999999972</v>
      </c>
      <c r="H154" s="10">
        <v>911.45</v>
      </c>
      <c r="I154" s="10">
        <v>11.549999999999997</v>
      </c>
      <c r="J154" s="10">
        <v>1194.4999999999998</v>
      </c>
    </row>
    <row r="155" spans="1:10" x14ac:dyDescent="0.25">
      <c r="A155" s="14">
        <v>45992</v>
      </c>
      <c r="B155" s="1">
        <v>25.2</v>
      </c>
      <c r="C155" s="1">
        <v>16.600000000000001</v>
      </c>
      <c r="D155" s="2">
        <v>20.9</v>
      </c>
      <c r="E155" s="2">
        <v>1.2</v>
      </c>
      <c r="F155" s="2"/>
      <c r="G155" s="11">
        <v>10.899999999999999</v>
      </c>
      <c r="H155" s="11">
        <v>922.35</v>
      </c>
      <c r="I155" s="11">
        <v>12.899999999999999</v>
      </c>
      <c r="J155" s="11">
        <v>1207.3999999999999</v>
      </c>
    </row>
    <row r="156" spans="1:10" x14ac:dyDescent="0.25">
      <c r="A156" s="14">
        <v>45993</v>
      </c>
      <c r="B156" s="1">
        <v>27.8</v>
      </c>
      <c r="C156" s="1">
        <v>15.3</v>
      </c>
      <c r="D156" s="2">
        <v>21.55</v>
      </c>
      <c r="E156" s="2">
        <v>0</v>
      </c>
      <c r="F156" s="2"/>
      <c r="G156" s="10">
        <v>11.55</v>
      </c>
      <c r="H156" s="10">
        <v>933.9</v>
      </c>
      <c r="I156" s="10">
        <v>13.55</v>
      </c>
      <c r="J156" s="10">
        <v>1220.9499999999998</v>
      </c>
    </row>
    <row r="157" spans="1:10" x14ac:dyDescent="0.25">
      <c r="A157" s="14">
        <v>45994</v>
      </c>
      <c r="B157" s="1">
        <v>31.6</v>
      </c>
      <c r="C157" s="1">
        <v>15.5</v>
      </c>
      <c r="D157" s="2">
        <v>23.55</v>
      </c>
      <c r="E157" s="2">
        <v>0</v>
      </c>
      <c r="F157" s="2"/>
      <c r="G157" s="11">
        <v>13.55</v>
      </c>
      <c r="H157" s="11">
        <v>947.44999999999993</v>
      </c>
      <c r="I157" s="11">
        <v>15.55</v>
      </c>
      <c r="J157" s="11">
        <v>1236.4999999999998</v>
      </c>
    </row>
    <row r="158" spans="1:10" x14ac:dyDescent="0.25">
      <c r="A158" s="14">
        <v>45995</v>
      </c>
      <c r="B158" s="1">
        <v>34.6</v>
      </c>
      <c r="C158" s="1">
        <v>19.100000000000001</v>
      </c>
      <c r="D158" s="2">
        <v>26.85</v>
      </c>
      <c r="E158" s="2">
        <v>0</v>
      </c>
      <c r="F158" s="2"/>
      <c r="G158" s="10">
        <v>16.850000000000001</v>
      </c>
      <c r="H158" s="10">
        <v>964.3</v>
      </c>
      <c r="I158" s="10">
        <v>18.850000000000001</v>
      </c>
      <c r="J158" s="10">
        <v>1255.3499999999997</v>
      </c>
    </row>
    <row r="159" spans="1:10" x14ac:dyDescent="0.25">
      <c r="A159" s="14">
        <v>45996</v>
      </c>
      <c r="B159" s="1">
        <v>34.700000000000003</v>
      </c>
      <c r="C159" s="1">
        <v>20.8</v>
      </c>
      <c r="D159" s="2">
        <v>27.75</v>
      </c>
      <c r="E159" s="2">
        <v>0</v>
      </c>
      <c r="F159" s="2"/>
      <c r="G159" s="11">
        <v>17.75</v>
      </c>
      <c r="H159" s="11">
        <v>982.05</v>
      </c>
      <c r="I159" s="11">
        <v>19.75</v>
      </c>
      <c r="J159" s="11">
        <v>1275.0999999999997</v>
      </c>
    </row>
    <row r="160" spans="1:10" x14ac:dyDescent="0.25">
      <c r="A160" s="14">
        <v>45997</v>
      </c>
      <c r="B160" s="1">
        <v>30</v>
      </c>
      <c r="C160" s="1">
        <v>20.5</v>
      </c>
      <c r="D160" s="2">
        <v>25.25</v>
      </c>
      <c r="E160" s="2">
        <v>1.6</v>
      </c>
      <c r="F160" s="2"/>
      <c r="G160" s="10">
        <v>15.25</v>
      </c>
      <c r="H160" s="10">
        <v>997.3</v>
      </c>
      <c r="I160" s="10">
        <v>17.25</v>
      </c>
      <c r="J160" s="10">
        <v>1292.3499999999997</v>
      </c>
    </row>
    <row r="161" spans="1:10" x14ac:dyDescent="0.25">
      <c r="A161" s="14">
        <v>45998</v>
      </c>
      <c r="B161" s="1">
        <v>25</v>
      </c>
      <c r="C161" s="1">
        <v>18.7</v>
      </c>
      <c r="D161" s="2">
        <v>21.85</v>
      </c>
      <c r="E161" s="2">
        <v>0</v>
      </c>
      <c r="F161" s="2"/>
      <c r="G161" s="11">
        <v>11.850000000000001</v>
      </c>
      <c r="H161" s="11">
        <v>1009.15</v>
      </c>
      <c r="I161" s="11">
        <v>13.850000000000001</v>
      </c>
      <c r="J161" s="11">
        <v>1306.1999999999996</v>
      </c>
    </row>
    <row r="162" spans="1:10" x14ac:dyDescent="0.25">
      <c r="A162" s="14">
        <v>45999</v>
      </c>
      <c r="B162" s="1">
        <v>25.7</v>
      </c>
      <c r="C162" s="1">
        <v>17.5</v>
      </c>
      <c r="D162" s="2">
        <v>21.6</v>
      </c>
      <c r="E162" s="2">
        <v>0</v>
      </c>
      <c r="F162" s="2"/>
      <c r="G162" s="10">
        <v>11.600000000000001</v>
      </c>
      <c r="H162" s="10">
        <v>1020.75</v>
      </c>
      <c r="I162" s="10">
        <v>13.600000000000001</v>
      </c>
      <c r="J162" s="10">
        <v>1319.7999999999995</v>
      </c>
    </row>
    <row r="163" spans="1:10" x14ac:dyDescent="0.25">
      <c r="A163" s="14">
        <v>46000</v>
      </c>
      <c r="B163" s="1">
        <v>29.4</v>
      </c>
      <c r="C163" s="1">
        <v>13.1</v>
      </c>
      <c r="D163" s="2">
        <v>21.25</v>
      </c>
      <c r="E163" s="2">
        <v>0</v>
      </c>
      <c r="F163" s="2"/>
      <c r="G163" s="11">
        <v>11.25</v>
      </c>
      <c r="H163" s="11">
        <v>1032</v>
      </c>
      <c r="I163" s="11">
        <v>13.25</v>
      </c>
      <c r="J163" s="11">
        <v>1333.0499999999995</v>
      </c>
    </row>
    <row r="164" spans="1:10" x14ac:dyDescent="0.25">
      <c r="A164" s="14">
        <v>46001</v>
      </c>
      <c r="B164" s="1">
        <v>33.5</v>
      </c>
      <c r="C164" s="1">
        <v>16.100000000000001</v>
      </c>
      <c r="D164" s="2">
        <v>24.8</v>
      </c>
      <c r="E164" s="2">
        <v>0</v>
      </c>
      <c r="F164" s="2"/>
      <c r="G164" s="10">
        <v>14.8</v>
      </c>
      <c r="H164" s="10">
        <v>1046.8</v>
      </c>
      <c r="I164" s="10">
        <v>16.8</v>
      </c>
      <c r="J164" s="10">
        <v>1349.8499999999995</v>
      </c>
    </row>
    <row r="165" spans="1:10" x14ac:dyDescent="0.25">
      <c r="A165" s="14">
        <v>46002</v>
      </c>
      <c r="B165" s="1">
        <v>26.9</v>
      </c>
      <c r="C165" s="1">
        <v>21.2</v>
      </c>
      <c r="D165" s="2">
        <v>24.049999999999997</v>
      </c>
      <c r="E165" s="2">
        <v>0.4</v>
      </c>
      <c r="F165" s="2"/>
      <c r="G165" s="11">
        <v>14.049999999999997</v>
      </c>
      <c r="H165" s="11">
        <v>1060.8499999999999</v>
      </c>
      <c r="I165" s="11">
        <v>16.049999999999997</v>
      </c>
      <c r="J165" s="11">
        <v>1365.8999999999994</v>
      </c>
    </row>
    <row r="166" spans="1:10" x14ac:dyDescent="0.25">
      <c r="A166" s="14">
        <v>46003</v>
      </c>
      <c r="B166" s="1">
        <v>34.1</v>
      </c>
      <c r="C166" s="1">
        <v>16.600000000000001</v>
      </c>
      <c r="D166" s="2">
        <v>25.35</v>
      </c>
      <c r="E166" s="2">
        <v>0</v>
      </c>
      <c r="F166" s="2"/>
      <c r="G166" s="10">
        <v>15.350000000000001</v>
      </c>
      <c r="H166" s="10">
        <v>1076.1999999999998</v>
      </c>
      <c r="I166" s="10">
        <v>17.350000000000001</v>
      </c>
      <c r="J166" s="10">
        <v>1383.2499999999993</v>
      </c>
    </row>
    <row r="167" spans="1:10" x14ac:dyDescent="0.25">
      <c r="A167" s="14">
        <v>46004</v>
      </c>
      <c r="B167" s="1">
        <v>35.700000000000003</v>
      </c>
      <c r="C167" s="1">
        <v>22.7</v>
      </c>
      <c r="D167" s="2">
        <v>29.200000000000003</v>
      </c>
      <c r="E167" s="2">
        <v>0</v>
      </c>
      <c r="F167" s="2"/>
      <c r="G167" s="11">
        <v>19.200000000000003</v>
      </c>
      <c r="H167" s="11">
        <v>1095.3999999999999</v>
      </c>
      <c r="I167" s="11">
        <v>21.200000000000003</v>
      </c>
      <c r="J167" s="11">
        <v>1404.4499999999994</v>
      </c>
    </row>
    <row r="168" spans="1:10" x14ac:dyDescent="0.25">
      <c r="A168" s="14">
        <v>46005</v>
      </c>
      <c r="B168" s="1">
        <v>22.6</v>
      </c>
      <c r="C168" s="1">
        <v>15.4</v>
      </c>
      <c r="D168" s="2">
        <v>19</v>
      </c>
      <c r="E168" s="2">
        <v>4.4000000000000004</v>
      </c>
      <c r="F168" s="2"/>
      <c r="G168" s="10">
        <v>9</v>
      </c>
      <c r="H168" s="10">
        <v>1104.3999999999999</v>
      </c>
      <c r="I168" s="10">
        <v>11</v>
      </c>
      <c r="J168" s="10">
        <v>1415.4499999999994</v>
      </c>
    </row>
    <row r="169" spans="1:10" x14ac:dyDescent="0.25">
      <c r="A169" s="14">
        <v>46006</v>
      </c>
      <c r="B169" s="1">
        <v>26.4</v>
      </c>
      <c r="C169" s="1">
        <v>11.6</v>
      </c>
      <c r="D169" s="2">
        <v>19</v>
      </c>
      <c r="E169" s="2">
        <v>0</v>
      </c>
      <c r="F169" s="2"/>
      <c r="G169" s="11">
        <v>9</v>
      </c>
      <c r="H169" s="11">
        <v>1113.3999999999999</v>
      </c>
      <c r="I169" s="11">
        <v>11</v>
      </c>
      <c r="J169" s="11">
        <v>1426.4499999999994</v>
      </c>
    </row>
    <row r="170" spans="1:10" x14ac:dyDescent="0.25">
      <c r="A170" s="14">
        <v>46007</v>
      </c>
      <c r="B170" s="1">
        <v>29.1</v>
      </c>
      <c r="C170" s="1">
        <v>13.5</v>
      </c>
      <c r="D170" s="2">
        <v>21.3</v>
      </c>
      <c r="E170" s="2">
        <v>0</v>
      </c>
      <c r="F170" s="2"/>
      <c r="G170" s="10">
        <v>11.3</v>
      </c>
      <c r="H170" s="10">
        <v>1124.6999999999998</v>
      </c>
      <c r="I170" s="10">
        <v>13.3</v>
      </c>
      <c r="J170" s="10">
        <v>1439.7499999999993</v>
      </c>
    </row>
    <row r="171" spans="1:10" x14ac:dyDescent="0.25">
      <c r="A171" s="14">
        <v>46008</v>
      </c>
      <c r="B171" s="1">
        <v>33.6</v>
      </c>
      <c r="C171" s="1">
        <v>17.5</v>
      </c>
      <c r="D171" s="2">
        <v>25.55</v>
      </c>
      <c r="E171" s="2">
        <v>0</v>
      </c>
      <c r="F171" s="2"/>
      <c r="G171" s="11">
        <v>15.55</v>
      </c>
      <c r="H171" s="11">
        <v>1140.2499999999998</v>
      </c>
      <c r="I171" s="11">
        <v>17.55</v>
      </c>
      <c r="J171" s="11">
        <v>1457.2999999999993</v>
      </c>
    </row>
    <row r="172" spans="1:10" x14ac:dyDescent="0.25">
      <c r="A172" s="14">
        <v>46009</v>
      </c>
      <c r="B172" s="1">
        <v>34.299999999999997</v>
      </c>
      <c r="C172" s="1">
        <v>20.399999999999999</v>
      </c>
      <c r="D172" s="2">
        <v>27.349999999999998</v>
      </c>
      <c r="E172" s="2">
        <v>0</v>
      </c>
      <c r="F172" s="2"/>
      <c r="G172" s="10">
        <v>17.349999999999998</v>
      </c>
      <c r="H172" s="10">
        <v>1157.5999999999997</v>
      </c>
      <c r="I172" s="10">
        <v>19.349999999999998</v>
      </c>
      <c r="J172" s="10">
        <v>1476.6499999999992</v>
      </c>
    </row>
    <row r="173" spans="1:10" x14ac:dyDescent="0.25">
      <c r="A173" s="14">
        <v>46010</v>
      </c>
      <c r="B173" s="1">
        <v>35.200000000000003</v>
      </c>
      <c r="C173" s="1">
        <v>19.7</v>
      </c>
      <c r="D173" s="2">
        <v>27.450000000000003</v>
      </c>
      <c r="E173" s="2">
        <v>0</v>
      </c>
      <c r="F173" s="2"/>
      <c r="G173" s="11">
        <v>17.450000000000003</v>
      </c>
      <c r="H173" s="11">
        <v>1175.0499999999997</v>
      </c>
      <c r="I173" s="11">
        <v>19.450000000000003</v>
      </c>
      <c r="J173" s="11">
        <v>1496.0999999999992</v>
      </c>
    </row>
    <row r="174" spans="1:10" x14ac:dyDescent="0.25">
      <c r="A174" s="14">
        <v>46011</v>
      </c>
      <c r="B174" s="1">
        <v>29.4</v>
      </c>
      <c r="C174" s="1">
        <v>21.4</v>
      </c>
      <c r="D174" s="2">
        <v>25.4</v>
      </c>
      <c r="E174" s="2">
        <v>37.1</v>
      </c>
      <c r="F174" s="2"/>
      <c r="G174" s="10">
        <v>15.399999999999999</v>
      </c>
      <c r="H174" s="10">
        <v>1190.4499999999998</v>
      </c>
      <c r="I174" s="10">
        <v>17.399999999999999</v>
      </c>
      <c r="J174" s="10">
        <v>1513.4999999999993</v>
      </c>
    </row>
    <row r="175" spans="1:10" x14ac:dyDescent="0.25">
      <c r="A175" s="14">
        <v>46012</v>
      </c>
      <c r="B175" s="1">
        <v>28.9</v>
      </c>
      <c r="C175" s="1">
        <v>20</v>
      </c>
      <c r="D175" s="2">
        <v>24.45</v>
      </c>
      <c r="E175" s="2">
        <v>13.7</v>
      </c>
      <c r="F175" s="2"/>
      <c r="G175" s="11">
        <v>14.45</v>
      </c>
      <c r="H175" s="11">
        <v>1204.8999999999999</v>
      </c>
      <c r="I175" s="11">
        <v>16.45</v>
      </c>
      <c r="J175" s="11">
        <v>1529.9499999999994</v>
      </c>
    </row>
    <row r="176" spans="1:10" x14ac:dyDescent="0.25">
      <c r="A176" s="14">
        <v>46013</v>
      </c>
      <c r="B176" s="1">
        <v>30</v>
      </c>
      <c r="C176" s="1">
        <v>20.100000000000001</v>
      </c>
      <c r="D176" s="2">
        <v>25.05</v>
      </c>
      <c r="E176" s="2">
        <v>0.1</v>
      </c>
      <c r="F176" s="2"/>
      <c r="G176" s="10">
        <v>15.05</v>
      </c>
      <c r="H176" s="10">
        <v>1219.9499999999998</v>
      </c>
      <c r="I176" s="10">
        <v>17.05</v>
      </c>
      <c r="J176" s="10">
        <v>1546.9999999999993</v>
      </c>
    </row>
    <row r="177" spans="1:10" x14ac:dyDescent="0.25">
      <c r="A177" s="14">
        <v>46014</v>
      </c>
      <c r="B177" s="1">
        <v>32.6</v>
      </c>
      <c r="C177" s="1">
        <v>20.3</v>
      </c>
      <c r="D177" s="2">
        <v>26.450000000000003</v>
      </c>
      <c r="E177" s="2">
        <v>0</v>
      </c>
      <c r="F177" s="2"/>
      <c r="G177" s="11">
        <v>16.450000000000003</v>
      </c>
      <c r="H177" s="11">
        <v>1236.3999999999999</v>
      </c>
      <c r="I177" s="11">
        <v>18.450000000000003</v>
      </c>
      <c r="J177" s="11">
        <v>1565.4499999999994</v>
      </c>
    </row>
    <row r="178" spans="1:10" x14ac:dyDescent="0.25">
      <c r="A178" s="14">
        <v>46015</v>
      </c>
      <c r="B178" s="1">
        <v>32.200000000000003</v>
      </c>
      <c r="C178" s="1">
        <v>19.5</v>
      </c>
      <c r="D178" s="2">
        <v>25.85</v>
      </c>
      <c r="E178" s="2">
        <v>1.6</v>
      </c>
      <c r="F178" s="2"/>
      <c r="G178" s="10">
        <v>15.850000000000001</v>
      </c>
      <c r="H178" s="10">
        <v>1252.2499999999998</v>
      </c>
      <c r="I178" s="10">
        <v>17.850000000000001</v>
      </c>
      <c r="J178" s="10">
        <v>1583.2999999999993</v>
      </c>
    </row>
    <row r="179" spans="1:10" x14ac:dyDescent="0.25">
      <c r="A179" s="14">
        <v>46016</v>
      </c>
      <c r="B179" s="1">
        <v>31.2</v>
      </c>
      <c r="C179" s="1">
        <v>18.2</v>
      </c>
      <c r="D179" s="2">
        <v>24.7</v>
      </c>
      <c r="E179" s="2">
        <v>0</v>
      </c>
      <c r="F179" s="2"/>
      <c r="G179" s="11">
        <v>14.7</v>
      </c>
      <c r="H179" s="11">
        <v>1266.9499999999998</v>
      </c>
      <c r="I179" s="11">
        <v>16.7</v>
      </c>
      <c r="J179" s="11">
        <v>1599.9999999999993</v>
      </c>
    </row>
    <row r="180" spans="1:10" x14ac:dyDescent="0.25">
      <c r="A180" s="14">
        <v>46017</v>
      </c>
      <c r="B180" s="1">
        <v>33.5</v>
      </c>
      <c r="C180" s="1">
        <v>17.7</v>
      </c>
      <c r="D180" s="2">
        <v>25.6</v>
      </c>
      <c r="E180" s="2">
        <v>0</v>
      </c>
      <c r="F180" s="2"/>
      <c r="G180" s="10">
        <v>15.600000000000001</v>
      </c>
      <c r="H180" s="10">
        <v>1282.5499999999997</v>
      </c>
      <c r="I180" s="10">
        <v>17.600000000000001</v>
      </c>
      <c r="J180" s="10">
        <v>1617.5999999999992</v>
      </c>
    </row>
    <row r="181" spans="1:10" x14ac:dyDescent="0.25">
      <c r="A181" s="14">
        <v>46018</v>
      </c>
      <c r="B181" s="1">
        <v>32.299999999999997</v>
      </c>
      <c r="C181" s="1">
        <v>22.8</v>
      </c>
      <c r="D181" s="2">
        <v>27.549999999999997</v>
      </c>
      <c r="E181" s="2">
        <v>4</v>
      </c>
      <c r="F181" s="2"/>
      <c r="G181" s="11">
        <v>17.549999999999997</v>
      </c>
      <c r="H181" s="11">
        <v>1300.0999999999997</v>
      </c>
      <c r="I181" s="11">
        <v>19.549999999999997</v>
      </c>
      <c r="J181" s="11">
        <v>1637.1499999999992</v>
      </c>
    </row>
    <row r="182" spans="1:10" x14ac:dyDescent="0.25">
      <c r="A182" s="14">
        <v>46019</v>
      </c>
      <c r="B182" s="1">
        <v>33.799999999999997</v>
      </c>
      <c r="C182" s="1">
        <v>17.3</v>
      </c>
      <c r="D182" s="2">
        <v>25.549999999999997</v>
      </c>
      <c r="E182" s="2">
        <v>0</v>
      </c>
      <c r="F182" s="2"/>
      <c r="G182" s="10">
        <v>15.549999999999997</v>
      </c>
      <c r="H182" s="10">
        <v>1315.6499999999996</v>
      </c>
      <c r="I182" s="10">
        <v>17.549999999999997</v>
      </c>
      <c r="J182" s="10">
        <v>1654.6999999999991</v>
      </c>
    </row>
    <row r="183" spans="1:10" x14ac:dyDescent="0.25">
      <c r="A183" s="14">
        <v>46020</v>
      </c>
      <c r="B183" s="1">
        <v>34.5</v>
      </c>
      <c r="C183" s="1">
        <v>18.5</v>
      </c>
      <c r="D183" s="2">
        <v>26.5</v>
      </c>
      <c r="E183" s="2">
        <v>0</v>
      </c>
      <c r="F183" s="2"/>
      <c r="G183" s="11">
        <v>16.5</v>
      </c>
      <c r="H183" s="11">
        <v>1332.1499999999996</v>
      </c>
      <c r="I183" s="11">
        <v>18.5</v>
      </c>
      <c r="J183" s="11">
        <v>1673.1999999999991</v>
      </c>
    </row>
    <row r="184" spans="1:10" x14ac:dyDescent="0.25">
      <c r="A184" s="14">
        <v>46021</v>
      </c>
      <c r="B184" s="1">
        <v>37</v>
      </c>
      <c r="C184" s="1">
        <v>22</v>
      </c>
      <c r="D184" s="2">
        <v>29.5</v>
      </c>
      <c r="E184" s="2">
        <v>0</v>
      </c>
      <c r="F184" s="2"/>
      <c r="G184" s="10">
        <v>19.5</v>
      </c>
      <c r="H184" s="10">
        <v>1351.6499999999996</v>
      </c>
      <c r="I184" s="10">
        <v>21.5</v>
      </c>
      <c r="J184" s="10">
        <v>1694.6999999999991</v>
      </c>
    </row>
    <row r="185" spans="1:10" x14ac:dyDescent="0.25">
      <c r="A185" s="14">
        <v>46022</v>
      </c>
      <c r="B185" s="1">
        <v>37.5</v>
      </c>
      <c r="C185" s="1">
        <v>24.2</v>
      </c>
      <c r="D185" s="2">
        <v>30.85</v>
      </c>
      <c r="E185" s="2">
        <v>0</v>
      </c>
      <c r="F185" s="2"/>
      <c r="G185" s="11">
        <v>20.85</v>
      </c>
      <c r="H185" s="11">
        <v>1372.4999999999995</v>
      </c>
      <c r="I185" s="11">
        <v>22.85</v>
      </c>
      <c r="J185" s="11">
        <v>1717.549999999999</v>
      </c>
    </row>
    <row r="186" spans="1:10" x14ac:dyDescent="0.25">
      <c r="A186" s="14">
        <v>46023</v>
      </c>
      <c r="B186" s="1">
        <v>36.6</v>
      </c>
      <c r="C186" s="1">
        <v>21.2</v>
      </c>
      <c r="D186" s="2">
        <v>28.9</v>
      </c>
      <c r="E186" s="2">
        <v>0</v>
      </c>
      <c r="F186" s="2"/>
      <c r="G186" s="10">
        <v>18.899999999999999</v>
      </c>
      <c r="H186" s="10">
        <v>1391.3999999999996</v>
      </c>
      <c r="I186" s="10">
        <v>20.9</v>
      </c>
      <c r="J186" s="10">
        <v>1738.4499999999991</v>
      </c>
    </row>
    <row r="187" spans="1:10" x14ac:dyDescent="0.25">
      <c r="A187" s="14">
        <v>46024</v>
      </c>
      <c r="B187" s="1">
        <v>30.3</v>
      </c>
      <c r="C187" s="1">
        <v>20.2</v>
      </c>
      <c r="D187" s="2">
        <v>25.25</v>
      </c>
      <c r="E187" s="2">
        <v>0</v>
      </c>
      <c r="F187" s="2"/>
      <c r="G187" s="11">
        <v>15.25</v>
      </c>
      <c r="H187" s="11">
        <v>1406.6499999999996</v>
      </c>
      <c r="I187" s="11">
        <v>17.25</v>
      </c>
      <c r="J187" s="11">
        <v>1755.6999999999991</v>
      </c>
    </row>
    <row r="188" spans="1:10" x14ac:dyDescent="0.25">
      <c r="A188" s="14">
        <v>46025</v>
      </c>
      <c r="B188" s="1">
        <v>26.5</v>
      </c>
      <c r="C188" s="1">
        <v>17.100000000000001</v>
      </c>
      <c r="D188" s="2">
        <v>21.8</v>
      </c>
      <c r="E188" s="2">
        <v>0</v>
      </c>
      <c r="F188" s="2"/>
      <c r="G188" s="10">
        <v>11.8</v>
      </c>
      <c r="H188" s="10">
        <v>1418.4499999999996</v>
      </c>
      <c r="I188" s="10">
        <v>13.8</v>
      </c>
      <c r="J188" s="10">
        <v>1769.4999999999991</v>
      </c>
    </row>
    <row r="189" spans="1:10" x14ac:dyDescent="0.25">
      <c r="A189" s="14">
        <v>46026</v>
      </c>
      <c r="B189" s="1">
        <v>29.5</v>
      </c>
      <c r="C189" s="1">
        <v>13.8</v>
      </c>
      <c r="D189" s="2">
        <v>21.65</v>
      </c>
      <c r="E189" s="2">
        <v>0</v>
      </c>
      <c r="F189" s="2"/>
      <c r="G189" s="11">
        <v>11.649999999999999</v>
      </c>
      <c r="H189" s="11">
        <v>1430.0999999999997</v>
      </c>
      <c r="I189" s="11">
        <v>13.649999999999999</v>
      </c>
      <c r="J189" s="11">
        <v>1783.1499999999992</v>
      </c>
    </row>
    <row r="190" spans="1:10" x14ac:dyDescent="0.25">
      <c r="A190" s="14">
        <v>46027</v>
      </c>
      <c r="B190" s="1">
        <v>32.799999999999997</v>
      </c>
      <c r="C190" s="1">
        <v>16.899999999999999</v>
      </c>
      <c r="D190" s="2">
        <v>24.849999999999998</v>
      </c>
      <c r="E190" s="2">
        <v>0</v>
      </c>
      <c r="F190" s="2"/>
      <c r="G190" s="10">
        <v>14.849999999999998</v>
      </c>
      <c r="H190" s="10">
        <v>1444.9499999999996</v>
      </c>
      <c r="I190" s="10">
        <v>16.849999999999998</v>
      </c>
      <c r="J190" s="10">
        <v>1799.9999999999991</v>
      </c>
    </row>
    <row r="191" spans="1:10" x14ac:dyDescent="0.25">
      <c r="A191" s="14">
        <v>46028</v>
      </c>
      <c r="B191" s="1">
        <v>32</v>
      </c>
      <c r="C191" s="1">
        <v>19.600000000000001</v>
      </c>
      <c r="D191" s="2">
        <v>25.8</v>
      </c>
      <c r="E191" s="2">
        <v>3.7</v>
      </c>
      <c r="F191" s="2"/>
      <c r="G191" s="11">
        <v>15.8</v>
      </c>
      <c r="H191" s="11">
        <v>1460.7499999999995</v>
      </c>
      <c r="I191" s="11">
        <v>17.8</v>
      </c>
      <c r="J191" s="11">
        <v>1817.799999999999</v>
      </c>
    </row>
    <row r="192" spans="1:10" x14ac:dyDescent="0.25">
      <c r="A192" s="14">
        <v>46029</v>
      </c>
      <c r="B192" s="1">
        <v>30</v>
      </c>
      <c r="C192" s="1">
        <v>16.8</v>
      </c>
      <c r="D192" s="2">
        <v>23.4</v>
      </c>
      <c r="E192" s="2">
        <v>0</v>
      </c>
      <c r="F192" s="2"/>
      <c r="G192" s="10">
        <v>13.399999999999999</v>
      </c>
      <c r="H192" s="10">
        <v>1474.1499999999996</v>
      </c>
      <c r="I192" s="10">
        <v>15.399999999999999</v>
      </c>
      <c r="J192" s="10">
        <v>1833.1999999999991</v>
      </c>
    </row>
    <row r="193" spans="1:10" x14ac:dyDescent="0.25">
      <c r="A193" s="14">
        <v>46030</v>
      </c>
      <c r="B193" s="1">
        <v>22.1</v>
      </c>
      <c r="C193" s="1">
        <v>15.9</v>
      </c>
      <c r="D193" s="2">
        <v>19</v>
      </c>
      <c r="E193" s="2">
        <v>0.6</v>
      </c>
      <c r="F193" s="2"/>
      <c r="G193" s="11">
        <v>9</v>
      </c>
      <c r="H193" s="11">
        <v>1483.1499999999996</v>
      </c>
      <c r="I193" s="11">
        <v>11</v>
      </c>
      <c r="J193" s="11">
        <v>1844.1999999999991</v>
      </c>
    </row>
    <row r="194" spans="1:10" x14ac:dyDescent="0.25">
      <c r="A194" s="14">
        <v>46031</v>
      </c>
      <c r="B194" s="1">
        <v>25.3</v>
      </c>
      <c r="C194" s="1">
        <v>15.6</v>
      </c>
      <c r="D194" s="2">
        <v>20.45</v>
      </c>
      <c r="E194" s="2">
        <v>0.5</v>
      </c>
      <c r="F194" s="2"/>
      <c r="G194" s="10">
        <v>10.45</v>
      </c>
      <c r="H194" s="10">
        <v>1493.5999999999997</v>
      </c>
      <c r="I194" s="10">
        <v>12.45</v>
      </c>
      <c r="J194" s="10">
        <v>1856.6499999999992</v>
      </c>
    </row>
    <row r="195" spans="1:10" x14ac:dyDescent="0.25">
      <c r="A195" s="14">
        <v>46032</v>
      </c>
      <c r="B195" s="1">
        <v>30.3</v>
      </c>
      <c r="C195" s="1">
        <v>15.4</v>
      </c>
      <c r="D195" s="2">
        <v>22.85</v>
      </c>
      <c r="E195" s="2">
        <v>0</v>
      </c>
      <c r="F195" s="2"/>
      <c r="G195" s="11">
        <v>12.850000000000001</v>
      </c>
      <c r="H195" s="11">
        <v>1506.4499999999996</v>
      </c>
      <c r="I195" s="11">
        <v>14.850000000000001</v>
      </c>
      <c r="J195" s="11">
        <v>1871.4999999999991</v>
      </c>
    </row>
    <row r="196" spans="1:10" x14ac:dyDescent="0.25">
      <c r="A196" s="14">
        <v>46033</v>
      </c>
      <c r="B196" s="1">
        <v>35.799999999999997</v>
      </c>
      <c r="C196" s="1">
        <v>17.3</v>
      </c>
      <c r="D196" s="2">
        <v>26.549999999999997</v>
      </c>
      <c r="E196" s="2">
        <v>0</v>
      </c>
      <c r="F196" s="2"/>
      <c r="G196" s="10">
        <v>16.549999999999997</v>
      </c>
      <c r="H196" s="10">
        <v>1522.9999999999995</v>
      </c>
      <c r="I196" s="10">
        <v>18.549999999999997</v>
      </c>
      <c r="J196" s="10">
        <v>1890.049999999999</v>
      </c>
    </row>
    <row r="197" spans="1:10" x14ac:dyDescent="0.25">
      <c r="A197" s="14">
        <v>46034</v>
      </c>
      <c r="B197" s="1">
        <v>36.9</v>
      </c>
      <c r="C197" s="1">
        <v>21</v>
      </c>
      <c r="D197" s="2">
        <v>28.95</v>
      </c>
      <c r="E197" s="2">
        <v>0</v>
      </c>
      <c r="F197" s="2"/>
      <c r="G197" s="11">
        <v>18.95</v>
      </c>
      <c r="H197" s="11">
        <v>1541.9499999999996</v>
      </c>
      <c r="I197" s="11">
        <v>20.95</v>
      </c>
      <c r="J197" s="11">
        <v>1910.9999999999991</v>
      </c>
    </row>
    <row r="198" spans="1:10" x14ac:dyDescent="0.25">
      <c r="A198" s="14">
        <v>46035</v>
      </c>
      <c r="B198" s="1">
        <v>30.2</v>
      </c>
      <c r="C198" s="1">
        <v>23</v>
      </c>
      <c r="D198" s="2">
        <v>26.6</v>
      </c>
      <c r="E198" s="2">
        <v>0.3</v>
      </c>
      <c r="F198" s="2"/>
      <c r="G198" s="10">
        <v>16.600000000000001</v>
      </c>
      <c r="H198" s="10">
        <v>1558.5499999999995</v>
      </c>
      <c r="I198" s="10">
        <v>18.600000000000001</v>
      </c>
      <c r="J198" s="10">
        <v>1929.599999999999</v>
      </c>
    </row>
    <row r="199" spans="1:10" x14ac:dyDescent="0.25">
      <c r="A199" s="14">
        <v>46036</v>
      </c>
      <c r="B199" s="1">
        <v>35.1</v>
      </c>
      <c r="C199" s="1">
        <v>20.5</v>
      </c>
      <c r="D199" s="2">
        <v>27.8</v>
      </c>
      <c r="E199" s="2">
        <v>0</v>
      </c>
      <c r="F199" s="2"/>
      <c r="G199" s="11">
        <v>17.8</v>
      </c>
      <c r="H199" s="11">
        <v>1576.3499999999995</v>
      </c>
      <c r="I199" s="11">
        <v>19.8</v>
      </c>
      <c r="J199" s="11">
        <v>1949.399999999999</v>
      </c>
    </row>
    <row r="200" spans="1:10" x14ac:dyDescent="0.25">
      <c r="A200" s="14">
        <v>46037</v>
      </c>
      <c r="B200" s="1">
        <v>31.4</v>
      </c>
      <c r="C200" s="1">
        <v>20.399999999999999</v>
      </c>
      <c r="D200" s="2">
        <v>25.9</v>
      </c>
      <c r="E200" s="2">
        <v>10.9</v>
      </c>
      <c r="F200" s="2"/>
      <c r="G200" s="10">
        <v>15.899999999999999</v>
      </c>
      <c r="H200" s="10">
        <v>1592.2499999999995</v>
      </c>
      <c r="I200" s="10">
        <v>17.899999999999999</v>
      </c>
      <c r="J200" s="10">
        <v>1967.299999999999</v>
      </c>
    </row>
    <row r="201" spans="1:10" x14ac:dyDescent="0.25">
      <c r="A201" s="14">
        <v>46038</v>
      </c>
      <c r="B201" s="1">
        <v>32.5</v>
      </c>
      <c r="C201" s="1">
        <v>18.600000000000001</v>
      </c>
      <c r="D201" s="2">
        <v>25.55</v>
      </c>
      <c r="E201" s="2">
        <v>0</v>
      </c>
      <c r="F201" s="2"/>
      <c r="G201" s="11">
        <v>15.55</v>
      </c>
      <c r="H201" s="11">
        <v>1607.7999999999995</v>
      </c>
      <c r="I201" s="11">
        <v>17.55</v>
      </c>
      <c r="J201" s="11">
        <v>1984.849999999999</v>
      </c>
    </row>
    <row r="202" spans="1:10" x14ac:dyDescent="0.25">
      <c r="A202" s="14">
        <v>46039</v>
      </c>
      <c r="B202" s="1">
        <v>35.700000000000003</v>
      </c>
      <c r="C202" s="1">
        <v>21.1</v>
      </c>
      <c r="D202" s="2">
        <v>28.400000000000002</v>
      </c>
      <c r="E202" s="2">
        <v>0</v>
      </c>
      <c r="F202" s="2"/>
      <c r="G202" s="10">
        <v>18.400000000000002</v>
      </c>
      <c r="H202" s="10">
        <v>1626.1999999999996</v>
      </c>
      <c r="I202" s="10">
        <v>20.400000000000002</v>
      </c>
      <c r="J202" s="10">
        <v>2005.2499999999991</v>
      </c>
    </row>
    <row r="203" spans="1:10" x14ac:dyDescent="0.25">
      <c r="A203" s="14">
        <v>46040</v>
      </c>
      <c r="B203" s="1">
        <v>27.8</v>
      </c>
      <c r="C203" s="1">
        <v>18.899999999999999</v>
      </c>
      <c r="D203" s="2">
        <v>23.35</v>
      </c>
      <c r="E203" s="2">
        <v>0</v>
      </c>
      <c r="F203" s="2"/>
      <c r="G203" s="11">
        <v>13.350000000000001</v>
      </c>
      <c r="H203" s="11">
        <v>1639.5499999999995</v>
      </c>
      <c r="I203" s="11">
        <v>15.350000000000001</v>
      </c>
      <c r="J203" s="11">
        <v>2020.599999999999</v>
      </c>
    </row>
    <row r="204" spans="1:10" x14ac:dyDescent="0.25">
      <c r="A204" s="14">
        <v>46041</v>
      </c>
      <c r="B204" s="1">
        <v>26.9</v>
      </c>
      <c r="C204" s="1">
        <v>15.2</v>
      </c>
      <c r="D204" s="2">
        <v>21.049999999999997</v>
      </c>
      <c r="E204" s="2">
        <v>0</v>
      </c>
      <c r="F204" s="2"/>
      <c r="G204" s="10">
        <v>11.049999999999997</v>
      </c>
      <c r="H204" s="10">
        <v>1650.5999999999995</v>
      </c>
      <c r="I204" s="10">
        <v>13.049999999999997</v>
      </c>
      <c r="J204" s="10">
        <v>2033.649999999999</v>
      </c>
    </row>
    <row r="205" spans="1:10" x14ac:dyDescent="0.25">
      <c r="A205" s="14">
        <v>46042</v>
      </c>
      <c r="B205" s="1">
        <v>30.4</v>
      </c>
      <c r="C205" s="1">
        <v>16.600000000000001</v>
      </c>
      <c r="D205" s="2">
        <v>23.5</v>
      </c>
      <c r="E205" s="2">
        <v>0</v>
      </c>
      <c r="F205" s="2"/>
      <c r="G205" s="11">
        <v>13.5</v>
      </c>
      <c r="H205" s="11">
        <v>1664.0999999999995</v>
      </c>
      <c r="I205" s="11">
        <v>15.5</v>
      </c>
      <c r="J205" s="11">
        <v>2049.1499999999987</v>
      </c>
    </row>
    <row r="206" spans="1:10" x14ac:dyDescent="0.25">
      <c r="A206" s="14">
        <v>46043</v>
      </c>
      <c r="B206" s="1">
        <v>33.5</v>
      </c>
      <c r="C206" s="1">
        <v>18.5</v>
      </c>
      <c r="D206" s="2">
        <v>26</v>
      </c>
      <c r="E206" s="2">
        <v>0</v>
      </c>
      <c r="F206" s="2"/>
      <c r="G206" s="10">
        <v>16</v>
      </c>
      <c r="H206" s="10">
        <v>1680.0999999999995</v>
      </c>
      <c r="I206" s="10">
        <v>18</v>
      </c>
      <c r="J206" s="10">
        <v>2067.1499999999987</v>
      </c>
    </row>
    <row r="207" spans="1:10" x14ac:dyDescent="0.25">
      <c r="A207" s="14">
        <v>46044</v>
      </c>
      <c r="B207" s="1">
        <v>34.799999999999997</v>
      </c>
      <c r="C207" s="1">
        <v>21</v>
      </c>
      <c r="D207" s="2">
        <v>27.9</v>
      </c>
      <c r="E207" s="2">
        <v>0</v>
      </c>
      <c r="F207" s="2"/>
      <c r="G207" s="11">
        <v>17.899999999999999</v>
      </c>
      <c r="H207" s="11">
        <v>1697.9999999999995</v>
      </c>
      <c r="I207" s="11">
        <v>19.899999999999999</v>
      </c>
      <c r="J207" s="11">
        <v>2087.0499999999988</v>
      </c>
    </row>
    <row r="208" spans="1:10" x14ac:dyDescent="0.25">
      <c r="A208" s="14">
        <v>46045</v>
      </c>
      <c r="B208" s="1">
        <v>36.1</v>
      </c>
      <c r="C208" s="1">
        <v>20.5</v>
      </c>
      <c r="D208" s="2">
        <v>28.3</v>
      </c>
      <c r="E208" s="2">
        <v>0</v>
      </c>
      <c r="F208" s="2"/>
      <c r="G208" s="10">
        <v>18.3</v>
      </c>
      <c r="H208" s="10">
        <v>1716.2999999999995</v>
      </c>
      <c r="I208" s="10">
        <v>20.3</v>
      </c>
      <c r="J208" s="10">
        <v>2107.349999999999</v>
      </c>
    </row>
    <row r="209" spans="1:10" x14ac:dyDescent="0.25">
      <c r="A209" s="14">
        <v>46046</v>
      </c>
      <c r="B209" s="1">
        <v>34.4</v>
      </c>
      <c r="C209" s="1">
        <v>21.8</v>
      </c>
      <c r="D209" s="2">
        <v>28.1</v>
      </c>
      <c r="E209" s="2">
        <v>6.9</v>
      </c>
      <c r="F209" s="2"/>
      <c r="G209" s="11">
        <v>18.100000000000001</v>
      </c>
      <c r="H209" s="11">
        <v>1734.3999999999994</v>
      </c>
      <c r="I209" s="11">
        <v>20.100000000000001</v>
      </c>
      <c r="J209" s="11">
        <v>2127.4499999999989</v>
      </c>
    </row>
    <row r="210" spans="1:10" x14ac:dyDescent="0.25">
      <c r="A210" s="14">
        <v>46047</v>
      </c>
      <c r="B210" s="1">
        <v>35.1</v>
      </c>
      <c r="C210" s="1">
        <v>22.4</v>
      </c>
      <c r="D210" s="2">
        <v>28.75</v>
      </c>
      <c r="E210" s="2">
        <v>0</v>
      </c>
      <c r="F210" s="2"/>
      <c r="G210" s="10">
        <v>18.75</v>
      </c>
      <c r="H210" s="10">
        <v>1753.1499999999994</v>
      </c>
      <c r="I210" s="10">
        <v>20.75</v>
      </c>
      <c r="J210" s="10">
        <v>2148.1999999999989</v>
      </c>
    </row>
    <row r="211" spans="1:10" x14ac:dyDescent="0.25">
      <c r="A211" s="14">
        <v>46048</v>
      </c>
      <c r="B211" s="1">
        <v>27</v>
      </c>
      <c r="C211" s="1">
        <v>19.600000000000001</v>
      </c>
      <c r="D211" s="2">
        <v>23.3</v>
      </c>
      <c r="E211" s="2">
        <v>4</v>
      </c>
      <c r="F211" s="2"/>
      <c r="G211" s="11">
        <v>13.3</v>
      </c>
      <c r="H211" s="11">
        <v>1766.4499999999994</v>
      </c>
      <c r="I211" s="11">
        <v>15.3</v>
      </c>
      <c r="J211" s="11">
        <v>2163.4999999999991</v>
      </c>
    </row>
    <row r="212" spans="1:10" x14ac:dyDescent="0.25">
      <c r="A212" s="14">
        <v>46049</v>
      </c>
      <c r="B212" s="1">
        <v>29.4</v>
      </c>
      <c r="C212" s="1">
        <v>18</v>
      </c>
      <c r="D212" s="2">
        <v>23.7</v>
      </c>
      <c r="E212" s="2">
        <v>0</v>
      </c>
      <c r="F212" s="2"/>
      <c r="G212" s="10">
        <v>13.7</v>
      </c>
      <c r="H212" s="10">
        <v>1780.1499999999994</v>
      </c>
      <c r="I212" s="10">
        <v>15.7</v>
      </c>
      <c r="J212" s="10">
        <v>2179.1999999999989</v>
      </c>
    </row>
    <row r="213" spans="1:10" x14ac:dyDescent="0.25">
      <c r="A213" s="14">
        <v>46050</v>
      </c>
      <c r="B213" s="1">
        <v>32.9</v>
      </c>
      <c r="C213" s="1">
        <v>19.8</v>
      </c>
      <c r="D213" s="2">
        <v>26.35</v>
      </c>
      <c r="E213" s="2">
        <v>0</v>
      </c>
      <c r="F213" s="2"/>
      <c r="G213" s="11">
        <v>16.350000000000001</v>
      </c>
      <c r="H213" s="11">
        <v>1796.4999999999993</v>
      </c>
      <c r="I213" s="11">
        <v>18.350000000000001</v>
      </c>
      <c r="J213" s="11">
        <v>2197.5499999999988</v>
      </c>
    </row>
    <row r="214" spans="1:10" x14ac:dyDescent="0.25">
      <c r="A214" s="14">
        <v>46051</v>
      </c>
      <c r="B214" s="1">
        <v>33.5</v>
      </c>
      <c r="C214" s="1">
        <v>18.3</v>
      </c>
      <c r="D214" s="2">
        <v>25.9</v>
      </c>
      <c r="E214" s="2">
        <v>0</v>
      </c>
      <c r="F214" s="2"/>
      <c r="G214" s="10">
        <v>15.899999999999999</v>
      </c>
      <c r="H214" s="10">
        <v>1812.3999999999994</v>
      </c>
      <c r="I214" s="10">
        <v>17.899999999999999</v>
      </c>
      <c r="J214" s="10">
        <v>2215.4499999999989</v>
      </c>
    </row>
    <row r="215" spans="1:10" x14ac:dyDescent="0.25">
      <c r="A215" s="14">
        <v>46052</v>
      </c>
      <c r="B215" s="1">
        <v>33.4</v>
      </c>
      <c r="C215" s="1">
        <v>18</v>
      </c>
      <c r="D215" s="2">
        <v>25.7</v>
      </c>
      <c r="E215" s="2">
        <v>0</v>
      </c>
      <c r="F215" s="2"/>
      <c r="G215" s="11">
        <v>15.7</v>
      </c>
      <c r="H215" s="11">
        <v>1828.0999999999995</v>
      </c>
      <c r="I215" s="11">
        <v>17.7</v>
      </c>
      <c r="J215" s="11">
        <v>2233.1499999999987</v>
      </c>
    </row>
    <row r="216" spans="1:10" x14ac:dyDescent="0.25">
      <c r="A216" s="14">
        <v>46053</v>
      </c>
      <c r="B216" s="1">
        <v>31.1</v>
      </c>
      <c r="C216" s="1">
        <v>20.8</v>
      </c>
      <c r="D216" s="2">
        <v>25.950000000000003</v>
      </c>
      <c r="E216" s="2">
        <v>0.1</v>
      </c>
      <c r="F216" s="2"/>
      <c r="G216" s="10">
        <v>15.950000000000003</v>
      </c>
      <c r="H216" s="10">
        <v>1844.0499999999995</v>
      </c>
      <c r="I216" s="10">
        <v>17.950000000000003</v>
      </c>
      <c r="J216" s="10">
        <v>2251.0999999999985</v>
      </c>
    </row>
    <row r="217" spans="1:10" x14ac:dyDescent="0.25">
      <c r="A217" s="14">
        <v>46054</v>
      </c>
      <c r="B217" s="1">
        <v>32.200000000000003</v>
      </c>
      <c r="C217" s="1">
        <v>19.5</v>
      </c>
      <c r="D217" s="2">
        <v>25.85</v>
      </c>
      <c r="E217" s="2">
        <v>0</v>
      </c>
      <c r="F217" s="2"/>
      <c r="G217" s="11">
        <v>15.850000000000001</v>
      </c>
      <c r="H217" s="11">
        <v>1859.8999999999994</v>
      </c>
      <c r="I217" s="11">
        <v>17.850000000000001</v>
      </c>
      <c r="J217" s="11">
        <v>2268.9499999999985</v>
      </c>
    </row>
    <row r="218" spans="1:10" x14ac:dyDescent="0.25">
      <c r="A218" s="14">
        <v>46055</v>
      </c>
      <c r="B218" s="1">
        <v>32.6</v>
      </c>
      <c r="C218" s="1">
        <v>18.3</v>
      </c>
      <c r="D218" s="2">
        <v>25.450000000000003</v>
      </c>
      <c r="E218" s="2">
        <v>0.2</v>
      </c>
      <c r="F218" s="2"/>
      <c r="G218" s="10">
        <v>15.450000000000003</v>
      </c>
      <c r="H218" s="10">
        <v>1875.3499999999995</v>
      </c>
      <c r="I218" s="10">
        <v>17.450000000000003</v>
      </c>
      <c r="J218" s="10">
        <v>2286.3999999999983</v>
      </c>
    </row>
    <row r="219" spans="1:10" x14ac:dyDescent="0.25">
      <c r="A219" s="14">
        <v>46056</v>
      </c>
      <c r="B219" s="1">
        <v>31.7</v>
      </c>
      <c r="C219" s="1">
        <v>19.899999999999999</v>
      </c>
      <c r="D219" s="2">
        <v>25.799999999999997</v>
      </c>
      <c r="E219" s="2">
        <v>0.4</v>
      </c>
      <c r="F219" s="2"/>
      <c r="G219" s="11">
        <v>15.799999999999997</v>
      </c>
      <c r="H219" s="11">
        <v>1891.1499999999994</v>
      </c>
      <c r="I219" s="11">
        <v>17.799999999999997</v>
      </c>
      <c r="J219" s="11">
        <v>2304.1999999999985</v>
      </c>
    </row>
    <row r="220" spans="1:10" x14ac:dyDescent="0.25">
      <c r="A220" s="14">
        <v>46057</v>
      </c>
      <c r="B220" s="1">
        <v>26.3</v>
      </c>
      <c r="C220" s="1">
        <v>19.399999999999999</v>
      </c>
      <c r="D220" s="2">
        <v>22.85</v>
      </c>
      <c r="E220" s="2">
        <v>11.8</v>
      </c>
      <c r="F220" s="2"/>
      <c r="G220" s="10">
        <v>12.850000000000001</v>
      </c>
      <c r="H220" s="10">
        <v>1903.9999999999993</v>
      </c>
      <c r="I220" s="10">
        <v>14.850000000000001</v>
      </c>
      <c r="J220" s="10">
        <v>2319.0499999999984</v>
      </c>
    </row>
    <row r="221" spans="1:10" x14ac:dyDescent="0.25">
      <c r="A221" s="14">
        <v>46058</v>
      </c>
      <c r="B221" s="1">
        <v>24.8</v>
      </c>
      <c r="C221" s="1">
        <v>19.5</v>
      </c>
      <c r="D221" s="2">
        <v>22.15</v>
      </c>
      <c r="E221" s="2">
        <v>12.6</v>
      </c>
      <c r="F221" s="2"/>
      <c r="G221" s="11">
        <v>12.149999999999999</v>
      </c>
      <c r="H221" s="11">
        <v>1916.1499999999994</v>
      </c>
      <c r="I221" s="11">
        <v>14.149999999999999</v>
      </c>
      <c r="J221" s="11">
        <v>2333.1999999999985</v>
      </c>
    </row>
    <row r="222" spans="1:10" x14ac:dyDescent="0.25">
      <c r="A222" s="14">
        <v>46059</v>
      </c>
      <c r="B222" s="1">
        <v>26.8</v>
      </c>
      <c r="C222" s="1">
        <v>19.2</v>
      </c>
      <c r="D222" s="2">
        <v>23</v>
      </c>
      <c r="E222" s="2">
        <v>0</v>
      </c>
      <c r="F222" s="2"/>
      <c r="G222" s="10">
        <v>13</v>
      </c>
      <c r="H222" s="10">
        <v>1929.1499999999994</v>
      </c>
      <c r="I222" s="10">
        <v>15</v>
      </c>
      <c r="J222" s="10">
        <v>2348.1999999999985</v>
      </c>
    </row>
    <row r="223" spans="1:10" x14ac:dyDescent="0.25">
      <c r="A223" s="14">
        <v>46060</v>
      </c>
      <c r="B223" s="1">
        <v>30.7</v>
      </c>
      <c r="C223" s="1">
        <v>14.3</v>
      </c>
      <c r="D223" s="2">
        <v>22.5</v>
      </c>
      <c r="E223" s="2">
        <v>0</v>
      </c>
      <c r="F223" s="2"/>
      <c r="G223" s="11">
        <v>12.5</v>
      </c>
      <c r="H223" s="11">
        <v>1941.6499999999994</v>
      </c>
      <c r="I223" s="11">
        <v>14.5</v>
      </c>
      <c r="J223" s="11">
        <v>2362.6999999999985</v>
      </c>
    </row>
    <row r="224" spans="1:10" x14ac:dyDescent="0.25">
      <c r="A224" s="14">
        <v>46061</v>
      </c>
      <c r="B224" s="1">
        <v>32.200000000000003</v>
      </c>
      <c r="C224" s="1">
        <v>15.9</v>
      </c>
      <c r="D224" s="2">
        <v>24.05</v>
      </c>
      <c r="E224" s="2">
        <v>0</v>
      </c>
      <c r="F224" s="2"/>
      <c r="G224" s="10">
        <v>14.05</v>
      </c>
      <c r="H224" s="10">
        <v>1955.6999999999994</v>
      </c>
      <c r="I224" s="10">
        <v>16.05</v>
      </c>
      <c r="J224" s="10">
        <v>2378.7499999999986</v>
      </c>
    </row>
    <row r="225" spans="1:10" x14ac:dyDescent="0.25">
      <c r="A225" s="14">
        <v>46062</v>
      </c>
      <c r="B225" s="1">
        <v>28.4</v>
      </c>
      <c r="C225" s="1">
        <v>19.8</v>
      </c>
      <c r="D225" s="2">
        <v>24.1</v>
      </c>
      <c r="E225" s="2">
        <v>0.4</v>
      </c>
      <c r="F225" s="2"/>
      <c r="G225" s="11">
        <v>14.100000000000001</v>
      </c>
      <c r="H225" s="11">
        <v>1969.7999999999993</v>
      </c>
      <c r="I225" s="11">
        <v>16.100000000000001</v>
      </c>
      <c r="J225" s="11">
        <v>2394.8499999999985</v>
      </c>
    </row>
    <row r="226" spans="1:10" x14ac:dyDescent="0.25">
      <c r="A226" s="14">
        <v>46063</v>
      </c>
      <c r="B226" s="1">
        <v>30.9</v>
      </c>
      <c r="C226" s="1">
        <v>15.5</v>
      </c>
      <c r="D226" s="2">
        <v>23.2</v>
      </c>
      <c r="E226" s="2">
        <v>0</v>
      </c>
      <c r="F226" s="2"/>
      <c r="G226" s="10">
        <v>13.2</v>
      </c>
      <c r="H226" s="10">
        <v>1982.9999999999993</v>
      </c>
      <c r="I226" s="10">
        <v>15.2</v>
      </c>
      <c r="J226" s="10">
        <v>2410.0499999999984</v>
      </c>
    </row>
    <row r="227" spans="1:10" x14ac:dyDescent="0.25">
      <c r="A227" s="14">
        <v>46064</v>
      </c>
      <c r="B227" s="1">
        <v>25.3</v>
      </c>
      <c r="C227" s="1">
        <v>18.899999999999999</v>
      </c>
      <c r="D227" s="2">
        <v>22.1</v>
      </c>
      <c r="E227" s="2">
        <v>0</v>
      </c>
      <c r="F227" s="2"/>
      <c r="G227" s="11">
        <v>12.100000000000001</v>
      </c>
      <c r="H227" s="11">
        <v>1995.0999999999992</v>
      </c>
      <c r="I227" s="11">
        <v>14.100000000000001</v>
      </c>
      <c r="J227" s="11">
        <v>2424.1499999999983</v>
      </c>
    </row>
    <row r="228" spans="1:10" x14ac:dyDescent="0.25">
      <c r="A228" s="14">
        <v>46065</v>
      </c>
      <c r="B228" s="1">
        <v>27.8</v>
      </c>
      <c r="C228" s="1">
        <v>15</v>
      </c>
      <c r="D228" s="2">
        <v>21.4</v>
      </c>
      <c r="E228" s="2">
        <v>0</v>
      </c>
      <c r="F228" s="2"/>
      <c r="G228" s="10">
        <v>11.399999999999999</v>
      </c>
      <c r="H228" s="10">
        <v>2006.4999999999993</v>
      </c>
      <c r="I228" s="10">
        <v>13.399999999999999</v>
      </c>
      <c r="J228" s="10">
        <v>2437.5499999999984</v>
      </c>
    </row>
    <row r="229" spans="1:10" x14ac:dyDescent="0.25">
      <c r="A229" s="14">
        <v>46066</v>
      </c>
      <c r="B229" s="1">
        <v>27</v>
      </c>
      <c r="C229" s="1">
        <v>15.3</v>
      </c>
      <c r="D229" s="2">
        <v>21.15</v>
      </c>
      <c r="E229" s="2">
        <v>0</v>
      </c>
      <c r="F229" s="2"/>
      <c r="G229" s="11">
        <v>11.149999999999999</v>
      </c>
      <c r="H229" s="11">
        <v>2017.6499999999994</v>
      </c>
      <c r="I229" s="11">
        <v>13.149999999999999</v>
      </c>
      <c r="J229" s="11">
        <v>2450.6999999999985</v>
      </c>
    </row>
    <row r="230" spans="1:10" x14ac:dyDescent="0.25">
      <c r="A230" s="14">
        <v>46067</v>
      </c>
      <c r="B230" s="1">
        <v>31.6</v>
      </c>
      <c r="C230" s="1">
        <v>19.2</v>
      </c>
      <c r="D230" s="2">
        <v>25.4</v>
      </c>
      <c r="E230" s="2">
        <v>0.1</v>
      </c>
      <c r="F230" s="2"/>
      <c r="G230" s="10">
        <v>15.399999999999999</v>
      </c>
      <c r="H230" s="10">
        <v>2033.0499999999995</v>
      </c>
      <c r="I230" s="10">
        <v>17.399999999999999</v>
      </c>
      <c r="J230" s="10">
        <v>2468.0999999999985</v>
      </c>
    </row>
    <row r="231" spans="1:10" x14ac:dyDescent="0.25">
      <c r="A231" s="14">
        <v>46068</v>
      </c>
      <c r="B231" s="1">
        <v>25.1</v>
      </c>
      <c r="C231" s="1">
        <v>19.100000000000001</v>
      </c>
      <c r="D231" s="2">
        <v>22.1</v>
      </c>
      <c r="E231" s="2">
        <v>33.9</v>
      </c>
      <c r="F231" s="2"/>
      <c r="G231" s="11">
        <v>12.100000000000001</v>
      </c>
      <c r="H231" s="11">
        <v>2045.1499999999994</v>
      </c>
      <c r="I231" s="11">
        <v>14.100000000000001</v>
      </c>
      <c r="J231" s="11">
        <v>2482.1999999999985</v>
      </c>
    </row>
    <row r="232" spans="1:10" x14ac:dyDescent="0.25">
      <c r="A232" s="14">
        <v>46069</v>
      </c>
      <c r="B232" s="1">
        <v>27</v>
      </c>
      <c r="C232" s="1">
        <v>14.9</v>
      </c>
      <c r="D232" s="2">
        <v>20.95</v>
      </c>
      <c r="E232" s="2">
        <v>0</v>
      </c>
      <c r="F232" s="2"/>
      <c r="G232" s="10">
        <v>10.95</v>
      </c>
      <c r="H232" s="10">
        <v>2056.0999999999995</v>
      </c>
      <c r="I232" s="10">
        <v>12.95</v>
      </c>
      <c r="J232" s="10">
        <v>2495.1499999999983</v>
      </c>
    </row>
    <row r="233" spans="1:10" x14ac:dyDescent="0.25">
      <c r="A233" s="14">
        <v>46070</v>
      </c>
      <c r="B233" s="1">
        <v>30.4</v>
      </c>
      <c r="C233" s="1">
        <v>19.600000000000001</v>
      </c>
      <c r="D233" s="2">
        <v>25</v>
      </c>
      <c r="E233" s="2">
        <v>0.8</v>
      </c>
      <c r="F233" s="2"/>
      <c r="G233" s="11">
        <v>15</v>
      </c>
      <c r="H233" s="11">
        <v>2071.0999999999995</v>
      </c>
      <c r="I233" s="11">
        <v>17</v>
      </c>
      <c r="J233" s="11">
        <v>2512.1499999999983</v>
      </c>
    </row>
    <row r="234" spans="1:10" x14ac:dyDescent="0.25">
      <c r="A234" s="14">
        <v>46071</v>
      </c>
      <c r="B234" s="1">
        <v>31.8</v>
      </c>
      <c r="C234" s="1">
        <v>22.4</v>
      </c>
      <c r="D234" s="2">
        <v>27.1</v>
      </c>
      <c r="E234" s="2">
        <v>5.6</v>
      </c>
      <c r="F234" s="2"/>
      <c r="G234" s="10">
        <v>17.100000000000001</v>
      </c>
      <c r="H234" s="10">
        <v>2088.1999999999994</v>
      </c>
      <c r="I234" s="10">
        <v>19.100000000000001</v>
      </c>
      <c r="J234" s="10">
        <v>2531.2499999999982</v>
      </c>
    </row>
    <row r="235" spans="1:10" x14ac:dyDescent="0.25">
      <c r="A235" s="14">
        <v>46072</v>
      </c>
      <c r="B235" s="1">
        <v>26.3</v>
      </c>
      <c r="C235" s="1">
        <v>20.2</v>
      </c>
      <c r="D235" s="2">
        <v>23.25</v>
      </c>
      <c r="E235" s="2">
        <v>17.2</v>
      </c>
      <c r="F235" s="2"/>
      <c r="G235" s="11">
        <v>13.25</v>
      </c>
      <c r="H235" s="11">
        <v>2101.4499999999994</v>
      </c>
      <c r="I235" s="11">
        <v>15.25</v>
      </c>
      <c r="J235" s="11">
        <v>2546.4999999999982</v>
      </c>
    </row>
    <row r="236" spans="1:10" x14ac:dyDescent="0.25">
      <c r="A236" s="14">
        <v>46073</v>
      </c>
      <c r="B236" s="1">
        <v>28</v>
      </c>
      <c r="C236" s="1">
        <v>14.6</v>
      </c>
      <c r="D236" s="2">
        <v>21.3</v>
      </c>
      <c r="E236" s="2">
        <v>0</v>
      </c>
      <c r="F236" s="2"/>
      <c r="G236" s="10">
        <v>11.3</v>
      </c>
      <c r="H236" s="10">
        <v>2112.7499999999995</v>
      </c>
      <c r="I236" s="10">
        <v>13.3</v>
      </c>
      <c r="J236" s="10">
        <v>2559.7999999999984</v>
      </c>
    </row>
    <row r="237" spans="1:10" x14ac:dyDescent="0.25">
      <c r="A237" s="14">
        <v>46074</v>
      </c>
      <c r="B237" s="1">
        <v>25.9</v>
      </c>
      <c r="C237" s="1">
        <v>17.399999999999999</v>
      </c>
      <c r="D237" s="2">
        <v>21.65</v>
      </c>
      <c r="E237" s="2">
        <v>2.2999999999999998</v>
      </c>
      <c r="F237" s="2"/>
      <c r="G237" s="11">
        <v>11.649999999999999</v>
      </c>
      <c r="H237" s="11">
        <v>2124.3999999999996</v>
      </c>
      <c r="I237" s="11">
        <v>13.649999999999999</v>
      </c>
      <c r="J237" s="11">
        <v>2573.4499999999985</v>
      </c>
    </row>
    <row r="238" spans="1:10" x14ac:dyDescent="0.25">
      <c r="A238" s="14">
        <v>46075</v>
      </c>
      <c r="B238" s="1">
        <v>27.9</v>
      </c>
      <c r="C238" s="1">
        <v>18</v>
      </c>
      <c r="D238" s="2">
        <v>22.95</v>
      </c>
      <c r="E238" s="2">
        <v>3.3</v>
      </c>
      <c r="F238" s="2"/>
      <c r="G238" s="10">
        <v>12.95</v>
      </c>
      <c r="H238" s="10">
        <v>2137.3499999999995</v>
      </c>
      <c r="I238" s="10">
        <v>14.95</v>
      </c>
      <c r="J238" s="10">
        <v>2588.3999999999983</v>
      </c>
    </row>
    <row r="239" spans="1:10" x14ac:dyDescent="0.25">
      <c r="A239" s="14">
        <v>46076</v>
      </c>
      <c r="B239" s="1">
        <v>28</v>
      </c>
      <c r="C239" s="1">
        <v>17.399999999999999</v>
      </c>
      <c r="D239" s="2">
        <v>22.7</v>
      </c>
      <c r="E239" s="2">
        <v>0.2</v>
      </c>
      <c r="F239" s="2"/>
      <c r="G239" s="11">
        <v>12.7</v>
      </c>
      <c r="H239" s="11">
        <v>2150.0499999999993</v>
      </c>
      <c r="I239" s="11">
        <v>14.7</v>
      </c>
      <c r="J239" s="11">
        <v>2603.0999999999981</v>
      </c>
    </row>
    <row r="240" spans="1:10" x14ac:dyDescent="0.25">
      <c r="A240" s="14">
        <v>46077</v>
      </c>
      <c r="B240" s="1">
        <v>28.6</v>
      </c>
      <c r="C240" s="1">
        <v>18</v>
      </c>
      <c r="D240" s="2">
        <v>23.3</v>
      </c>
      <c r="E240" s="2">
        <v>0</v>
      </c>
      <c r="F240" s="2"/>
      <c r="G240" s="10">
        <v>13.3</v>
      </c>
      <c r="H240" s="10">
        <v>2163.3499999999995</v>
      </c>
      <c r="I240" s="10">
        <v>15.3</v>
      </c>
      <c r="J240" s="10">
        <v>2618.3999999999983</v>
      </c>
    </row>
    <row r="241" spans="1:10" x14ac:dyDescent="0.25">
      <c r="A241" s="14">
        <v>46078</v>
      </c>
      <c r="B241" s="1">
        <v>23.1</v>
      </c>
      <c r="C241" s="1">
        <v>12.5</v>
      </c>
      <c r="D241" s="2">
        <v>17.8</v>
      </c>
      <c r="E241" s="2">
        <v>0</v>
      </c>
      <c r="F241" s="2"/>
      <c r="G241" s="11">
        <v>7.8000000000000007</v>
      </c>
      <c r="H241" s="11">
        <v>2171.1499999999996</v>
      </c>
      <c r="I241" s="11">
        <v>9.8000000000000007</v>
      </c>
      <c r="J241" s="11">
        <v>2628.1999999999985</v>
      </c>
    </row>
    <row r="242" spans="1:10" x14ac:dyDescent="0.25">
      <c r="A242" s="14">
        <v>46079</v>
      </c>
      <c r="B242" s="1">
        <v>23.8</v>
      </c>
      <c r="C242" s="1">
        <v>13.9</v>
      </c>
      <c r="D242" s="2">
        <v>18.850000000000001</v>
      </c>
      <c r="E242" s="2">
        <v>0.2</v>
      </c>
      <c r="F242" s="2"/>
      <c r="G242" s="10">
        <v>8.8500000000000014</v>
      </c>
      <c r="H242" s="10">
        <v>2179.9999999999995</v>
      </c>
      <c r="I242" s="10">
        <v>10.850000000000001</v>
      </c>
      <c r="J242" s="10">
        <v>2639.0499999999984</v>
      </c>
    </row>
    <row r="243" spans="1:10" x14ac:dyDescent="0.25">
      <c r="A243" s="14">
        <v>46080</v>
      </c>
      <c r="B243" s="1">
        <v>26.9</v>
      </c>
      <c r="C243" s="1">
        <v>13.4</v>
      </c>
      <c r="D243" s="2">
        <v>20.149999999999999</v>
      </c>
      <c r="E243" s="2">
        <v>0</v>
      </c>
      <c r="F243" s="2"/>
      <c r="G243" s="11">
        <v>10.149999999999999</v>
      </c>
      <c r="H243" s="11">
        <v>2190.1499999999996</v>
      </c>
      <c r="I243" s="11">
        <v>12.149999999999999</v>
      </c>
      <c r="J243" s="11">
        <v>2651.1999999999985</v>
      </c>
    </row>
    <row r="244" spans="1:10" x14ac:dyDescent="0.25">
      <c r="A244" s="14">
        <v>46081</v>
      </c>
      <c r="B244" s="1">
        <v>27.8</v>
      </c>
      <c r="C244" s="1">
        <v>17.899999999999999</v>
      </c>
      <c r="D244" s="2">
        <v>22.85</v>
      </c>
      <c r="E244" s="2">
        <v>0.1</v>
      </c>
      <c r="F244" s="2"/>
      <c r="G244" s="10">
        <v>12.850000000000001</v>
      </c>
      <c r="H244" s="10">
        <v>2202.9999999999995</v>
      </c>
      <c r="I244" s="10">
        <v>14.850000000000001</v>
      </c>
      <c r="J244" s="10">
        <v>2666.0499999999984</v>
      </c>
    </row>
    <row r="245" spans="1:10" x14ac:dyDescent="0.25">
      <c r="A245" s="14">
        <v>46082</v>
      </c>
      <c r="B245" s="1">
        <v>29.7</v>
      </c>
      <c r="C245" s="1">
        <v>17.899999999999999</v>
      </c>
      <c r="D245" s="2">
        <v>23.799999999999997</v>
      </c>
      <c r="E245" s="2">
        <v>0</v>
      </c>
      <c r="F245" s="2"/>
      <c r="G245" s="11">
        <v>13.799999999999997</v>
      </c>
      <c r="H245" s="11">
        <v>2216.7999999999997</v>
      </c>
      <c r="I245" s="11">
        <v>15.799999999999997</v>
      </c>
      <c r="J245" s="11">
        <v>2681.8499999999985</v>
      </c>
    </row>
    <row r="246" spans="1:10" x14ac:dyDescent="0.25">
      <c r="A246" s="14">
        <v>46083</v>
      </c>
      <c r="B246" s="1">
        <v>30.4</v>
      </c>
      <c r="C246" s="1">
        <v>19.3</v>
      </c>
      <c r="D246" s="2">
        <v>24.85</v>
      </c>
      <c r="E246" s="2">
        <v>13.9</v>
      </c>
      <c r="F246" s="2"/>
      <c r="G246" s="10">
        <v>14.850000000000001</v>
      </c>
      <c r="H246" s="10">
        <v>2231.6499999999996</v>
      </c>
      <c r="I246" s="10">
        <v>16.850000000000001</v>
      </c>
      <c r="J246" s="10">
        <v>2698.6999999999985</v>
      </c>
    </row>
    <row r="247" spans="1:10" x14ac:dyDescent="0.25">
      <c r="A247" s="14">
        <v>46084</v>
      </c>
      <c r="B247" s="1">
        <v>24.7</v>
      </c>
      <c r="C247" s="1">
        <v>15.5</v>
      </c>
      <c r="D247" s="2">
        <v>20.100000000000001</v>
      </c>
      <c r="E247" s="2">
        <v>1</v>
      </c>
      <c r="F247" s="2"/>
      <c r="G247" s="11">
        <v>10.100000000000001</v>
      </c>
      <c r="H247" s="11">
        <v>2241.7499999999995</v>
      </c>
      <c r="I247" s="11">
        <v>12.100000000000001</v>
      </c>
      <c r="J247" s="11">
        <v>2710.7999999999984</v>
      </c>
    </row>
    <row r="248" spans="1:10" x14ac:dyDescent="0.25">
      <c r="A248" s="14">
        <v>46085</v>
      </c>
      <c r="B248" s="1">
        <v>27.6</v>
      </c>
      <c r="C248" s="1">
        <v>15.5</v>
      </c>
      <c r="D248" s="2">
        <v>21.55</v>
      </c>
      <c r="E248" s="2">
        <v>0</v>
      </c>
      <c r="F248" s="2"/>
      <c r="G248" s="10">
        <v>11.55</v>
      </c>
      <c r="H248" s="10">
        <v>2253.2999999999997</v>
      </c>
      <c r="I248" s="10">
        <v>13.55</v>
      </c>
      <c r="J248" s="10">
        <v>2724.3499999999985</v>
      </c>
    </row>
    <row r="249" spans="1:10" x14ac:dyDescent="0.25">
      <c r="A249" s="14">
        <v>46086</v>
      </c>
      <c r="B249" s="1">
        <v>23.2</v>
      </c>
      <c r="C249" s="1">
        <v>19.3</v>
      </c>
      <c r="D249" s="2">
        <v>21.25</v>
      </c>
      <c r="E249" s="2">
        <v>6.9</v>
      </c>
      <c r="F249" s="2"/>
      <c r="G249" s="11">
        <v>11.25</v>
      </c>
      <c r="H249" s="11">
        <v>2264.5499999999997</v>
      </c>
      <c r="I249" s="11">
        <v>13.25</v>
      </c>
      <c r="J249" s="11">
        <v>2737.5999999999985</v>
      </c>
    </row>
    <row r="250" spans="1:10" x14ac:dyDescent="0.25">
      <c r="A250" s="14">
        <v>46087</v>
      </c>
      <c r="B250" s="1">
        <v>23.5</v>
      </c>
      <c r="C250" s="1">
        <v>18.3</v>
      </c>
      <c r="D250" s="2">
        <v>20.9</v>
      </c>
      <c r="E250" s="2">
        <v>6.3</v>
      </c>
      <c r="F250" s="2"/>
      <c r="G250" s="10">
        <v>10.899999999999999</v>
      </c>
      <c r="H250" s="10">
        <v>2275.4499999999998</v>
      </c>
      <c r="I250" s="10">
        <v>12.899999999999999</v>
      </c>
      <c r="J250" s="10">
        <v>2750.4999999999986</v>
      </c>
    </row>
    <row r="251" spans="1:10" x14ac:dyDescent="0.25">
      <c r="A251" s="14">
        <v>46088</v>
      </c>
      <c r="B251" s="1">
        <v>25.4</v>
      </c>
      <c r="C251" s="1">
        <v>17.100000000000001</v>
      </c>
      <c r="D251" s="2">
        <v>21.25</v>
      </c>
      <c r="E251" s="2">
        <v>1.2</v>
      </c>
      <c r="F251" s="2"/>
      <c r="G251" s="11">
        <v>11.25</v>
      </c>
      <c r="H251" s="11">
        <v>2286.6999999999998</v>
      </c>
      <c r="I251" s="11">
        <v>13.25</v>
      </c>
      <c r="J251" s="11">
        <v>2763.7499999999986</v>
      </c>
    </row>
    <row r="252" spans="1:10" x14ac:dyDescent="0.25">
      <c r="A252" s="14">
        <v>46089</v>
      </c>
      <c r="B252" s="1">
        <v>22.8</v>
      </c>
      <c r="C252" s="1">
        <v>17</v>
      </c>
      <c r="D252" s="2">
        <v>19.899999999999999</v>
      </c>
      <c r="E252" s="2">
        <v>37.9</v>
      </c>
      <c r="F252" s="2"/>
      <c r="G252" s="10">
        <v>9.8999999999999986</v>
      </c>
      <c r="H252" s="10">
        <v>2296.6</v>
      </c>
      <c r="I252" s="10">
        <v>11.899999999999999</v>
      </c>
      <c r="J252" s="10">
        <v>2775.6499999999987</v>
      </c>
    </row>
    <row r="253" spans="1:10" x14ac:dyDescent="0.25">
      <c r="A253" s="14">
        <v>46090</v>
      </c>
      <c r="B253" s="1">
        <v>24</v>
      </c>
      <c r="C253" s="1">
        <v>17.5</v>
      </c>
      <c r="D253" s="2">
        <v>20.75</v>
      </c>
      <c r="E253" s="2">
        <v>1.1000000000000001</v>
      </c>
      <c r="F253" s="2"/>
      <c r="G253" s="11">
        <v>10.75</v>
      </c>
      <c r="H253" s="11">
        <v>2307.35</v>
      </c>
      <c r="I253" s="11">
        <v>12.75</v>
      </c>
      <c r="J253" s="11">
        <v>2788.3999999999987</v>
      </c>
    </row>
    <row r="254" spans="1:10" x14ac:dyDescent="0.25">
      <c r="A254" s="14">
        <v>46091</v>
      </c>
      <c r="B254" s="1">
        <v>25.9</v>
      </c>
      <c r="C254" s="1">
        <v>16.399999999999999</v>
      </c>
      <c r="D254" s="2">
        <v>21.15</v>
      </c>
      <c r="E254" s="2">
        <v>0</v>
      </c>
      <c r="F254" s="2"/>
      <c r="G254" s="10">
        <v>11.149999999999999</v>
      </c>
      <c r="H254" s="10">
        <v>2318.5</v>
      </c>
      <c r="I254" s="10">
        <v>13.149999999999999</v>
      </c>
      <c r="J254" s="10">
        <v>2801.5499999999988</v>
      </c>
    </row>
    <row r="255" spans="1:10" x14ac:dyDescent="0.25">
      <c r="A255" s="14">
        <v>46092</v>
      </c>
      <c r="B255" s="1">
        <v>26.3</v>
      </c>
      <c r="C255" s="1">
        <v>16</v>
      </c>
      <c r="D255" s="2">
        <v>21.15</v>
      </c>
      <c r="E255" s="2">
        <v>0</v>
      </c>
      <c r="F255" s="2"/>
      <c r="G255" s="11">
        <v>11.149999999999999</v>
      </c>
      <c r="H255" s="11">
        <v>2329.65</v>
      </c>
      <c r="I255" s="11">
        <v>13.149999999999999</v>
      </c>
      <c r="J255" s="11">
        <v>2814.6999999999989</v>
      </c>
    </row>
    <row r="256" spans="1:10" x14ac:dyDescent="0.25">
      <c r="A256" s="14">
        <v>46093</v>
      </c>
      <c r="B256" s="1">
        <v>26.5</v>
      </c>
      <c r="C256" s="1">
        <v>15.7</v>
      </c>
      <c r="D256" s="2">
        <v>21.1</v>
      </c>
      <c r="E256" s="2">
        <v>0</v>
      </c>
      <c r="F256" s="2"/>
      <c r="G256" s="10">
        <v>11.100000000000001</v>
      </c>
      <c r="H256" s="10">
        <v>2340.75</v>
      </c>
      <c r="I256" s="10">
        <v>13.100000000000001</v>
      </c>
      <c r="J256" s="10">
        <v>2827.7999999999988</v>
      </c>
    </row>
    <row r="257" spans="1:10" x14ac:dyDescent="0.25">
      <c r="A257" s="14">
        <v>46094</v>
      </c>
      <c r="B257" s="1">
        <v>27.8</v>
      </c>
      <c r="C257" s="1">
        <v>15.7</v>
      </c>
      <c r="D257" s="2">
        <v>21.75</v>
      </c>
      <c r="E257" s="2">
        <v>1.4</v>
      </c>
      <c r="F257" s="2"/>
      <c r="G257" s="11">
        <v>11.75</v>
      </c>
      <c r="H257" s="11">
        <v>2352.5</v>
      </c>
      <c r="I257" s="11">
        <v>13.75</v>
      </c>
      <c r="J257" s="11">
        <v>2841.5499999999988</v>
      </c>
    </row>
    <row r="258" spans="1:10" x14ac:dyDescent="0.25">
      <c r="A258" s="14">
        <v>46095</v>
      </c>
      <c r="B258" s="1">
        <v>26.2</v>
      </c>
      <c r="C258" s="1">
        <v>18.100000000000001</v>
      </c>
      <c r="D258" s="2">
        <v>22.15</v>
      </c>
      <c r="E258" s="2">
        <v>7.1</v>
      </c>
      <c r="F258" s="2"/>
      <c r="G258" s="10">
        <v>12.149999999999999</v>
      </c>
      <c r="H258" s="10">
        <v>2364.65</v>
      </c>
      <c r="I258" s="10">
        <v>14.149999999999999</v>
      </c>
      <c r="J258" s="10">
        <v>2855.6999999999989</v>
      </c>
    </row>
    <row r="259" spans="1:10" x14ac:dyDescent="0.25">
      <c r="A259" s="14">
        <v>46096</v>
      </c>
      <c r="B259" s="1">
        <v>28.7</v>
      </c>
      <c r="C259" s="1">
        <v>16.600000000000001</v>
      </c>
      <c r="D259" s="2">
        <v>22.65</v>
      </c>
      <c r="E259" s="2">
        <v>0</v>
      </c>
      <c r="F259" s="2"/>
      <c r="G259" s="11">
        <v>12.649999999999999</v>
      </c>
      <c r="H259" s="11">
        <v>2377.3000000000002</v>
      </c>
      <c r="I259" s="11">
        <v>14.649999999999999</v>
      </c>
      <c r="J259" s="11">
        <v>2870.349999999999</v>
      </c>
    </row>
    <row r="260" spans="1:10" x14ac:dyDescent="0.25">
      <c r="A260" s="14">
        <v>46097</v>
      </c>
      <c r="B260" s="1">
        <v>27.6</v>
      </c>
      <c r="C260" s="1">
        <v>19.8</v>
      </c>
      <c r="D260" s="2">
        <v>23.700000000000003</v>
      </c>
      <c r="E260" s="2">
        <v>1</v>
      </c>
      <c r="F260" s="2"/>
      <c r="G260" s="10">
        <v>13.700000000000003</v>
      </c>
      <c r="H260" s="10">
        <v>2391</v>
      </c>
      <c r="I260" s="10">
        <v>15.700000000000003</v>
      </c>
      <c r="J260" s="10">
        <v>2886.0499999999988</v>
      </c>
    </row>
    <row r="261" spans="1:10" x14ac:dyDescent="0.25">
      <c r="A261" s="14">
        <v>46098</v>
      </c>
      <c r="B261" s="1">
        <v>24.4</v>
      </c>
      <c r="C261" s="1">
        <v>15.6</v>
      </c>
      <c r="D261" s="2">
        <v>20</v>
      </c>
      <c r="E261" s="2">
        <v>15.1</v>
      </c>
      <c r="F261" s="2"/>
      <c r="G261" s="11">
        <v>10</v>
      </c>
      <c r="H261" s="11">
        <v>2401</v>
      </c>
      <c r="I261" s="11">
        <v>12</v>
      </c>
      <c r="J261" s="11">
        <v>2898.0499999999988</v>
      </c>
    </row>
    <row r="262" spans="1:10" x14ac:dyDescent="0.25">
      <c r="A262" s="14">
        <v>46099</v>
      </c>
      <c r="B262" s="1">
        <v>25.1</v>
      </c>
      <c r="C262" s="1">
        <v>12.6</v>
      </c>
      <c r="D262" s="2">
        <v>18.850000000000001</v>
      </c>
      <c r="E262" s="2">
        <v>0</v>
      </c>
      <c r="F262" s="2"/>
      <c r="G262" s="10">
        <v>8.8500000000000014</v>
      </c>
      <c r="H262" s="10">
        <v>2409.85</v>
      </c>
      <c r="I262" s="10">
        <v>10.850000000000001</v>
      </c>
      <c r="J262" s="10">
        <v>2908.8999999999987</v>
      </c>
    </row>
    <row r="263" spans="1:10" x14ac:dyDescent="0.25">
      <c r="A263" s="14">
        <v>46100</v>
      </c>
      <c r="B263" s="1">
        <v>27.3</v>
      </c>
      <c r="C263" s="1">
        <v>17.2</v>
      </c>
      <c r="D263" s="2">
        <v>22.25</v>
      </c>
      <c r="E263" s="2">
        <v>0</v>
      </c>
      <c r="F263" s="2"/>
      <c r="G263" s="11">
        <v>12.25</v>
      </c>
      <c r="H263" s="11">
        <v>2422.1</v>
      </c>
      <c r="I263" s="11">
        <v>14.25</v>
      </c>
      <c r="J263" s="11">
        <v>2923.1499999999987</v>
      </c>
    </row>
    <row r="264" spans="1:10" x14ac:dyDescent="0.25">
      <c r="A264" s="14">
        <v>46101</v>
      </c>
      <c r="B264" s="1">
        <v>25.2</v>
      </c>
      <c r="C264" s="1">
        <v>19.399999999999999</v>
      </c>
      <c r="D264" s="2">
        <v>22.299999999999997</v>
      </c>
      <c r="E264" s="2">
        <v>9.1</v>
      </c>
      <c r="F264" s="2"/>
      <c r="G264" s="10">
        <v>12.299999999999997</v>
      </c>
      <c r="H264" s="10">
        <v>2434.4</v>
      </c>
      <c r="I264" s="10">
        <v>14.299999999999997</v>
      </c>
      <c r="J264" s="10">
        <v>2937.4499999999989</v>
      </c>
    </row>
    <row r="265" spans="1:10" x14ac:dyDescent="0.25">
      <c r="A265" s="14">
        <v>46102</v>
      </c>
      <c r="B265" s="1">
        <v>21</v>
      </c>
      <c r="C265" s="1">
        <v>12.1</v>
      </c>
      <c r="D265" s="2">
        <v>16.55</v>
      </c>
      <c r="E265" s="2">
        <v>18.8</v>
      </c>
      <c r="F265" s="2"/>
      <c r="G265" s="11">
        <v>6.5500000000000007</v>
      </c>
      <c r="H265" s="11">
        <v>2440.9500000000003</v>
      </c>
      <c r="I265" s="11">
        <v>8.5500000000000007</v>
      </c>
      <c r="J265" s="11">
        <v>2945.9999999999991</v>
      </c>
    </row>
    <row r="266" spans="1:10" x14ac:dyDescent="0.25">
      <c r="A266" s="14">
        <v>46103</v>
      </c>
      <c r="B266" s="1">
        <v>22.8</v>
      </c>
      <c r="C266" s="1">
        <v>9.4</v>
      </c>
      <c r="D266" s="2">
        <v>16.100000000000001</v>
      </c>
      <c r="E266" s="2">
        <v>0</v>
      </c>
      <c r="F266" s="2"/>
      <c r="G266" s="10">
        <v>6.1000000000000014</v>
      </c>
      <c r="H266" s="10">
        <v>2447.0500000000002</v>
      </c>
      <c r="I266" s="10">
        <v>8.1000000000000014</v>
      </c>
      <c r="J266" s="10">
        <v>2954.099999999999</v>
      </c>
    </row>
    <row r="267" spans="1:10" x14ac:dyDescent="0.25">
      <c r="A267" s="14">
        <v>46104</v>
      </c>
      <c r="B267" s="1">
        <v>20.6</v>
      </c>
      <c r="C267" s="1">
        <v>12.4</v>
      </c>
      <c r="D267" s="2">
        <v>16.5</v>
      </c>
      <c r="E267" s="2">
        <v>0</v>
      </c>
      <c r="F267" s="2"/>
      <c r="G267" s="11">
        <v>6.5</v>
      </c>
      <c r="H267" s="11">
        <v>2453.5500000000002</v>
      </c>
      <c r="I267" s="11">
        <v>8.5</v>
      </c>
      <c r="J267" s="11">
        <v>2962.599999999999</v>
      </c>
    </row>
    <row r="268" spans="1:10" x14ac:dyDescent="0.25">
      <c r="A268" s="14">
        <v>46105</v>
      </c>
      <c r="B268" s="1">
        <v>24.9</v>
      </c>
      <c r="C268" s="1">
        <v>10.5</v>
      </c>
      <c r="D268" s="2">
        <v>17.7</v>
      </c>
      <c r="E268" s="2">
        <v>0</v>
      </c>
      <c r="F268" s="2"/>
      <c r="G268" s="10">
        <v>7.6999999999999993</v>
      </c>
      <c r="H268" s="10">
        <v>2461.25</v>
      </c>
      <c r="I268" s="10">
        <v>9.6999999999999993</v>
      </c>
      <c r="J268" s="10">
        <v>2972.2999999999988</v>
      </c>
    </row>
    <row r="269" spans="1:10" x14ac:dyDescent="0.25">
      <c r="A269" s="14">
        <v>46106</v>
      </c>
      <c r="B269" s="1">
        <v>23.6</v>
      </c>
      <c r="C269" s="1">
        <v>12.7</v>
      </c>
      <c r="D269" s="2">
        <v>18.149999999999999</v>
      </c>
      <c r="E269" s="2">
        <v>0</v>
      </c>
      <c r="F269" s="2"/>
      <c r="G269" s="11">
        <v>8.1499999999999986</v>
      </c>
      <c r="H269" s="11">
        <v>2469.4</v>
      </c>
      <c r="I269" s="11">
        <v>10.149999999999999</v>
      </c>
      <c r="J269" s="11">
        <v>2982.4499999999989</v>
      </c>
    </row>
    <row r="270" spans="1:10" x14ac:dyDescent="0.25">
      <c r="A270" s="14">
        <v>46107</v>
      </c>
      <c r="B270" s="1">
        <v>24.4</v>
      </c>
      <c r="C270" s="1">
        <v>13.4</v>
      </c>
      <c r="D270" s="2">
        <v>18.899999999999999</v>
      </c>
      <c r="E270" s="2">
        <v>0</v>
      </c>
      <c r="F270" s="2"/>
      <c r="G270" s="10">
        <v>8.8999999999999986</v>
      </c>
      <c r="H270" s="10">
        <v>2478.3000000000002</v>
      </c>
      <c r="I270" s="10">
        <v>10.899999999999999</v>
      </c>
      <c r="J270" s="10">
        <v>2993.349999999999</v>
      </c>
    </row>
    <row r="271" spans="1:10" x14ac:dyDescent="0.25">
      <c r="A271" s="14">
        <v>46108</v>
      </c>
      <c r="B271" s="1">
        <v>26.1</v>
      </c>
      <c r="C271" s="1">
        <v>14.5</v>
      </c>
      <c r="D271" s="2">
        <v>20.3</v>
      </c>
      <c r="E271" s="2">
        <v>0</v>
      </c>
      <c r="F271" s="2"/>
      <c r="G271" s="11">
        <v>10.3</v>
      </c>
      <c r="H271" s="11">
        <v>2488.6000000000004</v>
      </c>
      <c r="I271" s="11">
        <v>12.3</v>
      </c>
      <c r="J271" s="11">
        <v>3005.6499999999992</v>
      </c>
    </row>
    <row r="272" spans="1:10" x14ac:dyDescent="0.25">
      <c r="A272" s="14">
        <v>46109</v>
      </c>
      <c r="B272" s="1">
        <v>29.1</v>
      </c>
      <c r="C272" s="1">
        <v>19.600000000000001</v>
      </c>
      <c r="D272" s="2">
        <v>24.35</v>
      </c>
      <c r="E272" s="2">
        <v>19.100000000000001</v>
      </c>
      <c r="F272" s="2"/>
      <c r="G272" s="10">
        <v>14.350000000000001</v>
      </c>
      <c r="H272" s="10">
        <v>2502.9500000000003</v>
      </c>
      <c r="I272" s="10">
        <v>16.350000000000001</v>
      </c>
      <c r="J272" s="10">
        <v>3021.9999999999991</v>
      </c>
    </row>
    <row r="273" spans="1:10" x14ac:dyDescent="0.25">
      <c r="A273" s="14">
        <v>46110</v>
      </c>
      <c r="B273" s="1">
        <v>31.9</v>
      </c>
      <c r="C273" s="1">
        <v>22.2</v>
      </c>
      <c r="D273" s="2">
        <v>27.049999999999997</v>
      </c>
      <c r="E273" s="2">
        <v>8.4</v>
      </c>
      <c r="F273" s="2"/>
      <c r="G273" s="11">
        <v>17.049999999999997</v>
      </c>
      <c r="H273" s="11">
        <v>2520.0000000000005</v>
      </c>
      <c r="I273" s="11">
        <v>19.049999999999997</v>
      </c>
      <c r="J273" s="11">
        <v>3041.0499999999993</v>
      </c>
    </row>
    <row r="274" spans="1:10" x14ac:dyDescent="0.25">
      <c r="A274" s="14">
        <v>46111</v>
      </c>
      <c r="B274" s="1">
        <v>31.5</v>
      </c>
      <c r="C274" s="1">
        <v>23.3</v>
      </c>
      <c r="D274" s="2">
        <v>27.4</v>
      </c>
      <c r="E274" s="2">
        <v>0.1</v>
      </c>
      <c r="F274" s="2"/>
      <c r="G274" s="10">
        <v>17.399999999999999</v>
      </c>
      <c r="H274" s="10">
        <v>2537.4000000000005</v>
      </c>
      <c r="I274" s="10">
        <v>19.399999999999999</v>
      </c>
      <c r="J274" s="10">
        <v>3060.4499999999994</v>
      </c>
    </row>
    <row r="275" spans="1:10" x14ac:dyDescent="0.25">
      <c r="A275" s="14">
        <v>46112</v>
      </c>
      <c r="B275" s="1">
        <v>32.9</v>
      </c>
      <c r="C275" s="1">
        <v>23.7</v>
      </c>
      <c r="D275" s="2">
        <v>28.299999999999997</v>
      </c>
      <c r="E275" s="2">
        <v>0</v>
      </c>
      <c r="F275" s="2"/>
      <c r="G275" s="11">
        <v>18.299999999999997</v>
      </c>
      <c r="H275" s="11">
        <v>2555.7000000000007</v>
      </c>
      <c r="I275" s="11">
        <v>20.299999999999997</v>
      </c>
      <c r="J275" s="11">
        <v>3080.7499999999995</v>
      </c>
    </row>
    <row r="276" spans="1:10" x14ac:dyDescent="0.25">
      <c r="A276" s="14">
        <v>46113</v>
      </c>
      <c r="B276" s="1">
        <v>27.6</v>
      </c>
      <c r="C276" s="1">
        <v>22.2</v>
      </c>
      <c r="D276" s="2">
        <v>24.9</v>
      </c>
      <c r="E276" s="2">
        <v>3.6</v>
      </c>
      <c r="F276" s="2"/>
      <c r="G276" s="10">
        <v>14.899999999999999</v>
      </c>
      <c r="H276" s="10">
        <v>2570.6000000000008</v>
      </c>
      <c r="I276" s="10">
        <v>16.899999999999999</v>
      </c>
      <c r="J276" s="10">
        <v>3097.6499999999996</v>
      </c>
    </row>
    <row r="277" spans="1:10" x14ac:dyDescent="0.25">
      <c r="A277" s="14">
        <v>46114</v>
      </c>
      <c r="B277" s="1">
        <v>26.1</v>
      </c>
      <c r="C277" s="1">
        <v>20.5</v>
      </c>
      <c r="D277" s="2">
        <v>23.3</v>
      </c>
      <c r="E277" s="2">
        <v>12.5</v>
      </c>
      <c r="F277" s="2"/>
      <c r="G277" s="11">
        <v>13.3</v>
      </c>
      <c r="H277" s="11">
        <v>2583.900000000001</v>
      </c>
      <c r="I277" s="11">
        <v>15.3</v>
      </c>
      <c r="J277" s="11">
        <v>3112.95</v>
      </c>
    </row>
    <row r="278" spans="1:10" x14ac:dyDescent="0.25">
      <c r="A278" s="14">
        <v>46115</v>
      </c>
      <c r="B278" s="1">
        <v>27.6</v>
      </c>
      <c r="C278" s="1">
        <v>18.399999999999999</v>
      </c>
      <c r="D278" s="2">
        <v>23</v>
      </c>
      <c r="E278" s="2">
        <v>8</v>
      </c>
      <c r="F278" s="2"/>
      <c r="G278" s="10">
        <v>13</v>
      </c>
      <c r="H278" s="10">
        <v>2596.900000000001</v>
      </c>
      <c r="I278" s="10">
        <v>15</v>
      </c>
      <c r="J278" s="10">
        <v>3127.95</v>
      </c>
    </row>
    <row r="279" spans="1:10" x14ac:dyDescent="0.25">
      <c r="A279" s="14">
        <v>46116</v>
      </c>
      <c r="B279" s="1">
        <v>21.3</v>
      </c>
      <c r="C279" s="1">
        <v>12.8</v>
      </c>
      <c r="D279" s="2">
        <v>17.05</v>
      </c>
      <c r="E279" s="2">
        <v>2.6</v>
      </c>
      <c r="F279" s="2"/>
      <c r="G279" s="11">
        <v>7.0500000000000007</v>
      </c>
      <c r="H279" s="11">
        <v>2603.9500000000012</v>
      </c>
      <c r="I279" s="11">
        <v>9.0500000000000007</v>
      </c>
      <c r="J279" s="11">
        <v>3137</v>
      </c>
    </row>
    <row r="280" spans="1:10" x14ac:dyDescent="0.25">
      <c r="A280" s="14">
        <v>46117</v>
      </c>
      <c r="B280" s="1">
        <v>17.100000000000001</v>
      </c>
      <c r="C280" s="1">
        <v>12.3</v>
      </c>
      <c r="D280" s="2">
        <v>14.700000000000001</v>
      </c>
      <c r="E280" s="2">
        <v>4.5</v>
      </c>
      <c r="F280" s="2"/>
      <c r="G280" s="10">
        <v>4.7000000000000011</v>
      </c>
      <c r="H280" s="10">
        <v>2608.650000000001</v>
      </c>
      <c r="I280" s="10">
        <v>6.7000000000000011</v>
      </c>
      <c r="J280" s="10">
        <v>3143.7</v>
      </c>
    </row>
    <row r="281" spans="1:10" x14ac:dyDescent="0.25">
      <c r="A281" s="14">
        <v>46118</v>
      </c>
      <c r="B281" s="1">
        <v>15.1</v>
      </c>
      <c r="C281" s="1">
        <v>13</v>
      </c>
      <c r="D281" s="2">
        <v>14.05</v>
      </c>
      <c r="E281" s="2">
        <v>6.1</v>
      </c>
      <c r="F281" s="2"/>
      <c r="G281" s="11">
        <v>4.0500000000000007</v>
      </c>
      <c r="H281" s="11">
        <v>2612.7000000000012</v>
      </c>
      <c r="I281" s="11">
        <v>6.0500000000000007</v>
      </c>
      <c r="J281" s="11">
        <v>3149.75</v>
      </c>
    </row>
    <row r="282" spans="1:10" x14ac:dyDescent="0.25">
      <c r="A282" s="14">
        <v>46119</v>
      </c>
      <c r="B282" s="1">
        <v>18.399999999999999</v>
      </c>
      <c r="C282" s="1">
        <v>13.9</v>
      </c>
      <c r="D282" s="2">
        <v>16.149999999999999</v>
      </c>
      <c r="E282" s="2">
        <v>3.2</v>
      </c>
      <c r="F282" s="2"/>
      <c r="G282" s="10">
        <v>6.1499999999999986</v>
      </c>
      <c r="H282" s="10">
        <v>2618.8500000000013</v>
      </c>
      <c r="I282" s="10">
        <v>8.1499999999999986</v>
      </c>
      <c r="J282" s="10">
        <v>3157.9</v>
      </c>
    </row>
    <row r="283" spans="1:10" x14ac:dyDescent="0.25">
      <c r="A283" s="14">
        <v>46120</v>
      </c>
      <c r="B283" s="1">
        <v>19.2</v>
      </c>
      <c r="C283" s="1">
        <v>11.2</v>
      </c>
      <c r="D283" s="2">
        <v>15.2</v>
      </c>
      <c r="E283" s="2">
        <v>0</v>
      </c>
      <c r="F283" s="2"/>
      <c r="G283" s="11">
        <v>5.1999999999999993</v>
      </c>
      <c r="H283" s="11">
        <v>2624.0500000000011</v>
      </c>
      <c r="I283" s="11">
        <v>7.1999999999999993</v>
      </c>
      <c r="J283" s="11">
        <v>3165.1</v>
      </c>
    </row>
    <row r="284" spans="1:10" x14ac:dyDescent="0.25">
      <c r="A284" s="14">
        <v>46121</v>
      </c>
      <c r="B284" s="1">
        <v>21.6</v>
      </c>
      <c r="C284" s="1">
        <v>8.9</v>
      </c>
      <c r="D284" s="2">
        <v>15.25</v>
      </c>
      <c r="E284" s="2">
        <v>0</v>
      </c>
      <c r="F284" s="2"/>
      <c r="G284" s="10">
        <v>5.25</v>
      </c>
      <c r="H284" s="10">
        <v>2629.3000000000011</v>
      </c>
      <c r="I284" s="10">
        <v>7.25</v>
      </c>
      <c r="J284" s="10">
        <v>3172.35</v>
      </c>
    </row>
    <row r="285" spans="1:10" x14ac:dyDescent="0.25">
      <c r="A285" s="14">
        <v>46122</v>
      </c>
      <c r="B285" s="1">
        <v>23.7</v>
      </c>
      <c r="C285" s="1">
        <v>11</v>
      </c>
      <c r="D285" s="2">
        <v>17.350000000000001</v>
      </c>
      <c r="E285" s="2">
        <v>0</v>
      </c>
      <c r="F285" s="2"/>
      <c r="G285" s="11">
        <v>7.3500000000000014</v>
      </c>
      <c r="H285" s="11">
        <v>2636.650000000001</v>
      </c>
      <c r="I285" s="11">
        <v>9.3500000000000014</v>
      </c>
      <c r="J285" s="11">
        <v>3181.7</v>
      </c>
    </row>
    <row r="286" spans="1:10" x14ac:dyDescent="0.25">
      <c r="A286" s="14">
        <v>46123</v>
      </c>
      <c r="B286" s="1">
        <v>22.5</v>
      </c>
      <c r="C286" s="1">
        <v>13.4</v>
      </c>
      <c r="D286" s="2">
        <v>17.95</v>
      </c>
      <c r="E286" s="2">
        <v>4.9000000000000004</v>
      </c>
      <c r="F286" s="2"/>
      <c r="G286" s="10">
        <v>7.9499999999999993</v>
      </c>
      <c r="H286" s="10">
        <v>2644.6000000000008</v>
      </c>
      <c r="I286" s="10">
        <v>9.9499999999999993</v>
      </c>
      <c r="J286" s="10">
        <v>3191.6499999999996</v>
      </c>
    </row>
    <row r="287" spans="1:10" x14ac:dyDescent="0.25">
      <c r="A287" s="14">
        <v>46124</v>
      </c>
      <c r="B287" s="1">
        <v>25.4</v>
      </c>
      <c r="C287" s="1">
        <v>13.1</v>
      </c>
      <c r="D287" s="2">
        <v>19.25</v>
      </c>
      <c r="E287" s="2">
        <v>0</v>
      </c>
      <c r="F287" s="2"/>
      <c r="G287" s="11">
        <v>9.25</v>
      </c>
      <c r="H287" s="11">
        <v>2653.8500000000008</v>
      </c>
      <c r="I287" s="11">
        <v>11.25</v>
      </c>
      <c r="J287" s="11">
        <v>3202.8999999999996</v>
      </c>
    </row>
    <row r="288" spans="1:10" x14ac:dyDescent="0.25">
      <c r="A288" s="14">
        <v>46125</v>
      </c>
      <c r="B288" s="1">
        <v>24.6</v>
      </c>
      <c r="C288" s="1">
        <v>15.7</v>
      </c>
      <c r="D288" s="2">
        <v>20.149999999999999</v>
      </c>
      <c r="E288" s="2">
        <v>0</v>
      </c>
      <c r="F288" s="2"/>
      <c r="G288" s="10">
        <v>10.149999999999999</v>
      </c>
      <c r="H288" s="10">
        <v>2664.0000000000009</v>
      </c>
      <c r="I288" s="10">
        <v>12.149999999999999</v>
      </c>
      <c r="J288" s="10">
        <v>3215.0499999999997</v>
      </c>
    </row>
    <row r="289" spans="1:10" x14ac:dyDescent="0.25">
      <c r="A289" s="14">
        <v>46126</v>
      </c>
      <c r="B289" s="1">
        <v>22</v>
      </c>
      <c r="C289" s="1">
        <v>17.8</v>
      </c>
      <c r="D289" s="2">
        <v>19.899999999999999</v>
      </c>
      <c r="E289" s="2">
        <v>2.5</v>
      </c>
      <c r="F289" s="2"/>
      <c r="G289" s="11">
        <v>9.8999999999999986</v>
      </c>
      <c r="H289" s="11">
        <v>2673.900000000001</v>
      </c>
      <c r="I289" s="11">
        <v>11.899999999999999</v>
      </c>
      <c r="J289" s="11">
        <v>3226.95</v>
      </c>
    </row>
    <row r="290" spans="1:10" x14ac:dyDescent="0.25">
      <c r="A290" s="14">
        <v>46127</v>
      </c>
      <c r="B290" s="1">
        <v>23.8</v>
      </c>
      <c r="C290" s="1">
        <v>17.899999999999999</v>
      </c>
      <c r="D290" s="2">
        <v>20.85</v>
      </c>
      <c r="E290" s="2">
        <v>1</v>
      </c>
      <c r="F290" s="2"/>
      <c r="G290" s="10">
        <v>10.850000000000001</v>
      </c>
      <c r="H290" s="10">
        <v>2684.7500000000009</v>
      </c>
      <c r="I290" s="10">
        <v>12.850000000000001</v>
      </c>
      <c r="J290" s="10">
        <v>3239.7999999999997</v>
      </c>
    </row>
    <row r="291" spans="1:10" x14ac:dyDescent="0.25">
      <c r="A291" s="14">
        <v>46128</v>
      </c>
      <c r="B291" s="1">
        <v>25.9</v>
      </c>
      <c r="C291" s="1">
        <v>15.2</v>
      </c>
      <c r="D291" s="2">
        <v>20.549999999999997</v>
      </c>
      <c r="E291" s="2">
        <v>0</v>
      </c>
      <c r="F291" s="2"/>
      <c r="G291" s="11">
        <v>10.549999999999997</v>
      </c>
      <c r="H291" s="11">
        <v>2695.3000000000011</v>
      </c>
      <c r="I291" s="11">
        <v>12.549999999999997</v>
      </c>
      <c r="J291" s="11">
        <v>3252.35</v>
      </c>
    </row>
    <row r="292" spans="1:10" x14ac:dyDescent="0.25">
      <c r="A292" s="14">
        <v>46129</v>
      </c>
      <c r="B292" s="1">
        <v>26.3</v>
      </c>
      <c r="C292" s="1">
        <v>14.8</v>
      </c>
      <c r="D292" s="2">
        <v>20.55</v>
      </c>
      <c r="E292" s="2">
        <v>0</v>
      </c>
      <c r="F292" s="2"/>
      <c r="G292" s="10">
        <v>10.55</v>
      </c>
      <c r="H292" s="10">
        <v>2705.8500000000013</v>
      </c>
      <c r="I292" s="10">
        <v>12.55</v>
      </c>
      <c r="J292" s="10">
        <v>3264.9</v>
      </c>
    </row>
    <row r="293" spans="1:10" x14ac:dyDescent="0.25">
      <c r="A293" s="14">
        <v>46130</v>
      </c>
      <c r="B293" s="1">
        <v>26.5</v>
      </c>
      <c r="C293" s="1">
        <v>15.8</v>
      </c>
      <c r="D293" s="2">
        <v>21.15</v>
      </c>
      <c r="E293" s="2">
        <v>0.2</v>
      </c>
      <c r="F293" s="2"/>
      <c r="G293" s="11">
        <v>11.149999999999999</v>
      </c>
      <c r="H293" s="11">
        <v>2717.0000000000014</v>
      </c>
      <c r="I293" s="11">
        <v>13.149999999999999</v>
      </c>
      <c r="J293" s="11">
        <v>3278.05</v>
      </c>
    </row>
    <row r="294" spans="1:10" x14ac:dyDescent="0.25">
      <c r="A294" s="14">
        <v>46131</v>
      </c>
      <c r="B294" s="1">
        <v>21</v>
      </c>
      <c r="C294" s="1">
        <v>15.1</v>
      </c>
      <c r="D294" s="2">
        <v>18.05</v>
      </c>
      <c r="E294" s="2">
        <v>5.2</v>
      </c>
      <c r="F294" s="2"/>
      <c r="G294" s="10">
        <v>8.0500000000000007</v>
      </c>
      <c r="H294" s="10">
        <v>2725.0500000000015</v>
      </c>
      <c r="I294" s="10">
        <v>10.050000000000001</v>
      </c>
      <c r="J294" s="10">
        <v>3288.1000000000004</v>
      </c>
    </row>
    <row r="295" spans="1:10" x14ac:dyDescent="0.25">
      <c r="A295" s="14">
        <v>46132</v>
      </c>
      <c r="B295" s="1">
        <v>16.100000000000001</v>
      </c>
      <c r="C295" s="1">
        <v>12.1</v>
      </c>
      <c r="D295" s="2">
        <v>14.100000000000001</v>
      </c>
      <c r="E295" s="2">
        <v>2.7</v>
      </c>
      <c r="F295" s="2"/>
      <c r="G295" s="11">
        <v>4.1000000000000014</v>
      </c>
      <c r="H295" s="11">
        <v>2729.1500000000015</v>
      </c>
      <c r="I295" s="11">
        <v>6.1000000000000014</v>
      </c>
      <c r="J295" s="11">
        <v>3294.2000000000003</v>
      </c>
    </row>
    <row r="296" spans="1:10" x14ac:dyDescent="0.25">
      <c r="A296" s="14">
        <v>46133</v>
      </c>
      <c r="B296" s="1">
        <v>18.100000000000001</v>
      </c>
      <c r="C296" s="1">
        <v>11</v>
      </c>
      <c r="D296" s="2">
        <v>14.55</v>
      </c>
      <c r="E296" s="2">
        <v>4.9000000000000004</v>
      </c>
      <c r="F296" s="2"/>
      <c r="G296" s="10">
        <v>4.5500000000000007</v>
      </c>
      <c r="H296" s="10">
        <v>2733.7000000000016</v>
      </c>
      <c r="I296" s="10">
        <v>6.5500000000000007</v>
      </c>
      <c r="J296" s="10">
        <v>3300.7500000000005</v>
      </c>
    </row>
    <row r="297" spans="1:10" x14ac:dyDescent="0.25">
      <c r="A297" s="14">
        <v>46134</v>
      </c>
      <c r="B297" s="1">
        <v>19.399999999999999</v>
      </c>
      <c r="C297" s="1">
        <v>6.3</v>
      </c>
      <c r="D297" s="2">
        <v>12.85</v>
      </c>
      <c r="E297" s="2">
        <v>0</v>
      </c>
      <c r="F297" s="2"/>
      <c r="G297" s="11">
        <v>2.8499999999999996</v>
      </c>
      <c r="H297" s="11">
        <v>2736.5500000000015</v>
      </c>
      <c r="I297" s="11">
        <v>4.8499999999999996</v>
      </c>
      <c r="J297" s="11">
        <v>3305.6000000000004</v>
      </c>
    </row>
    <row r="298" spans="1:10" x14ac:dyDescent="0.25">
      <c r="A298" s="14">
        <v>46135</v>
      </c>
      <c r="B298" s="1">
        <v>22.1</v>
      </c>
      <c r="C298" s="1">
        <v>7.1</v>
      </c>
      <c r="D298" s="2">
        <v>14.600000000000001</v>
      </c>
      <c r="E298" s="2">
        <v>0</v>
      </c>
      <c r="F298" s="2"/>
      <c r="G298" s="10">
        <v>4.6000000000000014</v>
      </c>
      <c r="H298" s="10">
        <v>2741.1500000000015</v>
      </c>
      <c r="I298" s="10">
        <v>6.6000000000000014</v>
      </c>
      <c r="J298" s="10">
        <v>3312.2000000000003</v>
      </c>
    </row>
    <row r="299" spans="1:10" x14ac:dyDescent="0.25">
      <c r="A299" s="14">
        <v>46136</v>
      </c>
      <c r="B299" s="1">
        <v>24.4</v>
      </c>
      <c r="C299" s="1">
        <v>12.1</v>
      </c>
      <c r="D299" s="2">
        <v>18.25</v>
      </c>
      <c r="E299" s="2">
        <v>0.2</v>
      </c>
      <c r="F299" s="2"/>
      <c r="G299" s="11">
        <v>8.25</v>
      </c>
      <c r="H299" s="11">
        <v>2749.4000000000015</v>
      </c>
      <c r="I299" s="11">
        <v>10.25</v>
      </c>
      <c r="J299" s="11">
        <v>3322.4500000000003</v>
      </c>
    </row>
    <row r="300" spans="1:10" x14ac:dyDescent="0.25">
      <c r="A300" s="14">
        <v>46137</v>
      </c>
      <c r="B300" s="1">
        <v>20.100000000000001</v>
      </c>
      <c r="C300" s="1">
        <v>10.8</v>
      </c>
      <c r="D300" s="2">
        <v>15.450000000000001</v>
      </c>
      <c r="E300" s="2">
        <v>3.2</v>
      </c>
      <c r="F300" s="2"/>
      <c r="G300" s="10">
        <v>5.4500000000000011</v>
      </c>
      <c r="H300" s="10">
        <v>2754.8500000000013</v>
      </c>
      <c r="I300" s="10">
        <v>7.4500000000000011</v>
      </c>
      <c r="J300" s="10">
        <v>3329.9</v>
      </c>
    </row>
    <row r="301" spans="1:10" x14ac:dyDescent="0.25">
      <c r="A301" s="14">
        <v>46138</v>
      </c>
      <c r="B301" s="1">
        <v>17.100000000000001</v>
      </c>
      <c r="C301" s="1">
        <v>7.5</v>
      </c>
      <c r="D301" s="2">
        <v>12.3</v>
      </c>
      <c r="E301" s="2">
        <v>0</v>
      </c>
      <c r="F301" s="2"/>
      <c r="G301" s="11">
        <v>2.3000000000000007</v>
      </c>
      <c r="H301" s="11">
        <v>2757.1500000000015</v>
      </c>
      <c r="I301" s="11">
        <v>4.3000000000000007</v>
      </c>
      <c r="J301" s="11">
        <v>3334.2000000000003</v>
      </c>
    </row>
    <row r="302" spans="1:10" x14ac:dyDescent="0.25">
      <c r="A302" s="14">
        <v>46139</v>
      </c>
      <c r="B302" s="1">
        <v>15.2</v>
      </c>
      <c r="C302" s="1">
        <v>3.3</v>
      </c>
      <c r="D302" s="2">
        <v>9.25</v>
      </c>
      <c r="E302" s="2">
        <v>0</v>
      </c>
      <c r="F302" s="2"/>
      <c r="G302" s="10">
        <v>0</v>
      </c>
      <c r="H302" s="10">
        <v>2757.1500000000015</v>
      </c>
      <c r="I302" s="10">
        <v>1.25</v>
      </c>
      <c r="J302" s="10">
        <v>3335.4500000000003</v>
      </c>
    </row>
    <row r="303" spans="1:10" x14ac:dyDescent="0.25">
      <c r="A303" s="14">
        <v>46140</v>
      </c>
      <c r="B303" s="1">
        <v>22.4</v>
      </c>
      <c r="C303" s="1">
        <v>8.9</v>
      </c>
      <c r="D303" s="2">
        <v>15.649999999999999</v>
      </c>
      <c r="E303" s="2">
        <v>2.1</v>
      </c>
      <c r="F303" s="2"/>
      <c r="G303" s="11">
        <v>5.6499999999999986</v>
      </c>
      <c r="H303" s="11">
        <v>2762.8000000000015</v>
      </c>
      <c r="I303" s="11">
        <v>7.6499999999999986</v>
      </c>
      <c r="J303" s="11">
        <v>3343.1000000000004</v>
      </c>
    </row>
    <row r="304" spans="1:10" x14ac:dyDescent="0.25">
      <c r="A304" s="14">
        <v>46141</v>
      </c>
      <c r="B304" s="1">
        <v>24.1</v>
      </c>
      <c r="C304" s="1">
        <v>10.6</v>
      </c>
      <c r="D304" s="2">
        <v>17.350000000000001</v>
      </c>
      <c r="E304" s="2">
        <v>0.1</v>
      </c>
      <c r="F304" s="2"/>
      <c r="G304" s="10">
        <v>7.3500000000000014</v>
      </c>
      <c r="H304" s="10">
        <v>2770.1500000000015</v>
      </c>
      <c r="I304" s="10">
        <v>9.3500000000000014</v>
      </c>
      <c r="J304" s="10">
        <v>3352.4500000000003</v>
      </c>
    </row>
    <row r="305" spans="1:10" x14ac:dyDescent="0.25">
      <c r="A305" s="14">
        <v>46142</v>
      </c>
      <c r="B305" s="1">
        <v>24</v>
      </c>
      <c r="C305" s="1">
        <v>9.1</v>
      </c>
      <c r="D305" s="2">
        <v>16.55</v>
      </c>
      <c r="E305" s="2">
        <v>0</v>
      </c>
      <c r="F305" s="2"/>
      <c r="G305" s="11">
        <v>6.5500000000000007</v>
      </c>
      <c r="H305" s="11">
        <v>2776.7000000000016</v>
      </c>
      <c r="I305" s="11">
        <v>8.5500000000000007</v>
      </c>
      <c r="J305" s="11">
        <v>3361.0000000000005</v>
      </c>
    </row>
    <row r="306" spans="1:10" x14ac:dyDescent="0.25">
      <c r="A306" s="14">
        <v>46143</v>
      </c>
      <c r="B306" s="1">
        <v>24.8</v>
      </c>
      <c r="C306" s="1">
        <v>11.1</v>
      </c>
      <c r="D306" s="2">
        <v>17.95</v>
      </c>
      <c r="E306" s="2">
        <v>0</v>
      </c>
      <c r="F306" s="2"/>
      <c r="G306" s="10">
        <v>7.9499999999999993</v>
      </c>
      <c r="H306" s="10">
        <v>2784.6500000000015</v>
      </c>
      <c r="I306" s="10">
        <v>9.9499999999999993</v>
      </c>
      <c r="J306" s="10">
        <v>3370.9500000000003</v>
      </c>
    </row>
    <row r="307" spans="1:10" x14ac:dyDescent="0.25">
      <c r="A307" s="14">
        <v>46144</v>
      </c>
      <c r="B307" s="1">
        <v>16.899999999999999</v>
      </c>
      <c r="C307" s="1">
        <v>8.3000000000000007</v>
      </c>
      <c r="D307" s="2">
        <v>12.6</v>
      </c>
      <c r="E307" s="2">
        <v>0</v>
      </c>
      <c r="F307" s="2"/>
      <c r="G307" s="11">
        <v>2.5999999999999996</v>
      </c>
      <c r="H307" s="11">
        <v>2787.2500000000014</v>
      </c>
      <c r="I307" s="11">
        <v>4.5999999999999996</v>
      </c>
      <c r="J307" s="11">
        <v>3375.55</v>
      </c>
    </row>
    <row r="308" spans="1:10" x14ac:dyDescent="0.25">
      <c r="A308" s="14">
        <v>46145</v>
      </c>
      <c r="B308" s="1">
        <v>18.600000000000001</v>
      </c>
      <c r="C308" s="1">
        <v>6</v>
      </c>
      <c r="D308" s="2">
        <v>12.3</v>
      </c>
      <c r="E308" s="2">
        <v>0</v>
      </c>
      <c r="F308" s="2"/>
      <c r="G308" s="10">
        <v>2.3000000000000007</v>
      </c>
      <c r="H308" s="10">
        <v>2789.5500000000015</v>
      </c>
      <c r="I308" s="10">
        <v>4.3000000000000007</v>
      </c>
      <c r="J308" s="10">
        <v>3379.8500000000004</v>
      </c>
    </row>
    <row r="309" spans="1:10" x14ac:dyDescent="0.25">
      <c r="A309" s="14">
        <v>46146</v>
      </c>
      <c r="B309" s="1">
        <v>22</v>
      </c>
      <c r="C309" s="1">
        <v>6.7</v>
      </c>
      <c r="D309" s="2">
        <v>14.35</v>
      </c>
      <c r="E309" s="2">
        <v>0</v>
      </c>
      <c r="F309" s="2"/>
      <c r="G309" s="11">
        <v>4.3499999999999996</v>
      </c>
      <c r="H309" s="11">
        <v>2793.9000000000015</v>
      </c>
      <c r="I309" s="11">
        <v>6.35</v>
      </c>
      <c r="J309" s="11">
        <v>3386.2000000000003</v>
      </c>
    </row>
    <row r="310" spans="1:10" x14ac:dyDescent="0.25">
      <c r="A310" s="14">
        <v>46147</v>
      </c>
      <c r="B310" s="1">
        <v>25.4</v>
      </c>
      <c r="C310" s="1">
        <v>10.8</v>
      </c>
      <c r="D310" s="2">
        <v>18.100000000000001</v>
      </c>
      <c r="E310" s="2">
        <v>0.3</v>
      </c>
      <c r="F310" s="2"/>
      <c r="G310" s="10">
        <v>8.1000000000000014</v>
      </c>
      <c r="H310" s="10">
        <v>2802.0000000000014</v>
      </c>
      <c r="I310" s="10">
        <v>10.100000000000001</v>
      </c>
      <c r="J310" s="10">
        <v>3396.3</v>
      </c>
    </row>
    <row r="311" spans="1:10" x14ac:dyDescent="0.25">
      <c r="A311" s="14">
        <v>46148</v>
      </c>
      <c r="B311" s="1">
        <v>29.1</v>
      </c>
      <c r="C311" s="1">
        <v>18.7</v>
      </c>
      <c r="D311" s="2">
        <v>23.9</v>
      </c>
      <c r="E311" s="2">
        <v>3.9</v>
      </c>
      <c r="F311" s="2"/>
      <c r="G311" s="11">
        <v>13.899999999999999</v>
      </c>
      <c r="H311" s="11">
        <v>2815.9000000000015</v>
      </c>
      <c r="I311" s="11">
        <v>15.899999999999999</v>
      </c>
      <c r="J311" s="11">
        <v>3412.2000000000003</v>
      </c>
    </row>
    <row r="312" spans="1:10" x14ac:dyDescent="0.25">
      <c r="A312" s="14">
        <v>46149</v>
      </c>
      <c r="B312" s="1">
        <v>19.5</v>
      </c>
      <c r="C312" s="1">
        <v>10.7</v>
      </c>
      <c r="D312" s="2">
        <v>15.1</v>
      </c>
      <c r="E312" s="2">
        <v>0</v>
      </c>
      <c r="F312" s="2"/>
      <c r="G312" s="10">
        <v>5.0999999999999996</v>
      </c>
      <c r="H312" s="10">
        <v>2821.0000000000014</v>
      </c>
      <c r="I312" s="10">
        <v>7.1</v>
      </c>
      <c r="J312" s="10">
        <v>3419.3</v>
      </c>
    </row>
    <row r="313" spans="1:10" x14ac:dyDescent="0.25">
      <c r="A313" s="14">
        <v>46150</v>
      </c>
      <c r="B313" s="1">
        <v>15.1</v>
      </c>
      <c r="C313" s="1">
        <v>7</v>
      </c>
      <c r="D313" s="2">
        <v>11.05</v>
      </c>
      <c r="E313" s="2">
        <v>0.1</v>
      </c>
      <c r="F313" s="2"/>
      <c r="G313" s="11">
        <v>1.0500000000000007</v>
      </c>
      <c r="H313" s="11">
        <v>2822.0500000000015</v>
      </c>
      <c r="I313" s="11">
        <v>3.0500000000000007</v>
      </c>
      <c r="J313" s="11">
        <v>3422.3500000000004</v>
      </c>
    </row>
    <row r="314" spans="1:10" x14ac:dyDescent="0.25">
      <c r="A314" s="14">
        <v>46151</v>
      </c>
      <c r="B314" s="1">
        <v>11.6</v>
      </c>
      <c r="C314" s="1">
        <v>5.4</v>
      </c>
      <c r="D314" s="2">
        <v>8.5</v>
      </c>
      <c r="E314" s="2">
        <v>0.2</v>
      </c>
      <c r="F314" s="2"/>
      <c r="G314" s="10">
        <v>0</v>
      </c>
      <c r="H314" s="10">
        <v>2822.0500000000015</v>
      </c>
      <c r="I314" s="10">
        <v>0.5</v>
      </c>
      <c r="J314" s="10">
        <v>3422.8500000000004</v>
      </c>
    </row>
    <row r="315" spans="1:10" x14ac:dyDescent="0.25">
      <c r="A315" s="14">
        <v>46152</v>
      </c>
      <c r="B315" s="1">
        <v>18.899999999999999</v>
      </c>
      <c r="C315" s="1">
        <v>1.6</v>
      </c>
      <c r="D315" s="2">
        <v>10.25</v>
      </c>
      <c r="E315" s="2">
        <v>0</v>
      </c>
      <c r="F315" s="2"/>
      <c r="G315" s="11">
        <v>0.25</v>
      </c>
      <c r="H315" s="11">
        <v>2822.3000000000015</v>
      </c>
      <c r="I315" s="11">
        <v>2.25</v>
      </c>
      <c r="J315" s="11">
        <v>3425.1000000000004</v>
      </c>
    </row>
    <row r="316" spans="1:10" x14ac:dyDescent="0.25">
      <c r="A316" s="14">
        <v>46153</v>
      </c>
      <c r="B316" s="1">
        <v>21.6</v>
      </c>
      <c r="C316" s="1">
        <v>2.8</v>
      </c>
      <c r="D316" s="2">
        <v>12.200000000000001</v>
      </c>
      <c r="E316" s="2">
        <v>0</v>
      </c>
      <c r="F316" s="2"/>
      <c r="G316" s="10">
        <v>2.2000000000000011</v>
      </c>
      <c r="H316" s="10">
        <v>2824.5000000000014</v>
      </c>
      <c r="I316" s="10">
        <v>4.2000000000000011</v>
      </c>
      <c r="J316" s="10">
        <v>3429.3</v>
      </c>
    </row>
    <row r="317" spans="1:10" x14ac:dyDescent="0.25">
      <c r="A317" s="14">
        <v>46154</v>
      </c>
      <c r="B317" s="1">
        <v>24</v>
      </c>
      <c r="C317" s="1">
        <v>5</v>
      </c>
      <c r="D317" s="2">
        <v>14.5</v>
      </c>
      <c r="E317" s="2">
        <v>0</v>
      </c>
      <c r="F317" s="2"/>
      <c r="G317" s="11">
        <v>4.5</v>
      </c>
      <c r="H317" s="11">
        <v>2829.0000000000014</v>
      </c>
      <c r="I317" s="11">
        <v>6.5</v>
      </c>
      <c r="J317" s="11">
        <v>3435.8</v>
      </c>
    </row>
    <row r="318" spans="1:10" x14ac:dyDescent="0.25">
      <c r="A318" s="14">
        <v>46155</v>
      </c>
      <c r="B318" s="1">
        <v>17.899999999999999</v>
      </c>
      <c r="C318" s="1">
        <v>7.6</v>
      </c>
      <c r="D318" s="2">
        <v>12.75</v>
      </c>
      <c r="E318" s="2">
        <v>0</v>
      </c>
      <c r="F318" s="2"/>
      <c r="G318" s="10">
        <v>2.75</v>
      </c>
      <c r="H318" s="10">
        <v>2831.7500000000014</v>
      </c>
      <c r="I318" s="10">
        <v>4.75</v>
      </c>
      <c r="J318" s="10">
        <v>3440.55</v>
      </c>
    </row>
    <row r="319" spans="1:10" x14ac:dyDescent="0.25">
      <c r="A319" s="14">
        <v>46156</v>
      </c>
      <c r="B319" s="1">
        <v>18.600000000000001</v>
      </c>
      <c r="C319" s="1">
        <v>9.4</v>
      </c>
      <c r="D319" s="2">
        <v>14</v>
      </c>
      <c r="E319" s="2">
        <v>0</v>
      </c>
      <c r="F319" s="2"/>
      <c r="G319" s="11">
        <v>4</v>
      </c>
      <c r="H319" s="11">
        <v>2835.7500000000014</v>
      </c>
      <c r="I319" s="11">
        <v>6</v>
      </c>
      <c r="J319" s="11">
        <v>3446.55</v>
      </c>
    </row>
    <row r="320" spans="1:10" x14ac:dyDescent="0.25">
      <c r="A320" s="14">
        <v>46157</v>
      </c>
      <c r="B320" s="1">
        <v>19</v>
      </c>
      <c r="C320" s="1">
        <v>7.2</v>
      </c>
      <c r="D320" s="2">
        <v>13.1</v>
      </c>
      <c r="E320" s="2">
        <v>0</v>
      </c>
      <c r="F320" s="2"/>
      <c r="G320" s="10">
        <v>3.0999999999999996</v>
      </c>
      <c r="H320" s="10">
        <v>2838.8500000000013</v>
      </c>
      <c r="I320" s="10">
        <v>5.0999999999999996</v>
      </c>
      <c r="J320" s="10">
        <v>3451.65</v>
      </c>
    </row>
    <row r="321" spans="1:10" x14ac:dyDescent="0.25">
      <c r="A321" s="14">
        <v>46158</v>
      </c>
      <c r="B321" s="1">
        <v>13.5</v>
      </c>
      <c r="C321" s="1">
        <v>8.3000000000000007</v>
      </c>
      <c r="D321" s="2">
        <v>10.9</v>
      </c>
      <c r="E321" s="2">
        <v>7.3</v>
      </c>
      <c r="F321" s="2"/>
      <c r="G321" s="11">
        <v>0.90000000000000036</v>
      </c>
      <c r="H321" s="11">
        <v>2839.7500000000014</v>
      </c>
      <c r="I321" s="11">
        <v>2.9000000000000004</v>
      </c>
      <c r="J321" s="11">
        <v>3454.55</v>
      </c>
    </row>
    <row r="322" spans="1:10" x14ac:dyDescent="0.25">
      <c r="A322" s="14">
        <v>46159</v>
      </c>
      <c r="B322" s="1">
        <v>12.7</v>
      </c>
      <c r="C322" s="1">
        <v>5.0999999999999996</v>
      </c>
      <c r="D322" s="2">
        <v>8.8999999999999986</v>
      </c>
      <c r="E322" s="2">
        <v>1</v>
      </c>
      <c r="F322" s="2"/>
      <c r="G322" s="10">
        <v>0</v>
      </c>
      <c r="H322" s="10">
        <v>2839.7500000000014</v>
      </c>
      <c r="I322" s="10">
        <v>0.89999999999999858</v>
      </c>
      <c r="J322" s="10">
        <v>3455.4500000000003</v>
      </c>
    </row>
    <row r="323" spans="1:10" x14ac:dyDescent="0.25">
      <c r="A323" s="14">
        <v>46160</v>
      </c>
      <c r="B323" s="1">
        <v>15.9</v>
      </c>
      <c r="C323" s="1">
        <v>2.2000000000000002</v>
      </c>
      <c r="D323" s="2">
        <v>9.0500000000000007</v>
      </c>
      <c r="E323" s="2">
        <v>0</v>
      </c>
      <c r="F323" s="2"/>
      <c r="G323" s="11">
        <v>0</v>
      </c>
      <c r="H323" s="11">
        <v>2839.7500000000014</v>
      </c>
      <c r="I323" s="11">
        <v>1.0500000000000007</v>
      </c>
      <c r="J323" s="11">
        <v>3456.5000000000005</v>
      </c>
    </row>
    <row r="324" spans="1:10" x14ac:dyDescent="0.25">
      <c r="A324" s="14">
        <v>46161</v>
      </c>
      <c r="B324" s="1">
        <v>18.100000000000001</v>
      </c>
      <c r="C324" s="1">
        <v>2.8</v>
      </c>
      <c r="D324" s="2">
        <v>10.450000000000001</v>
      </c>
      <c r="E324" s="2">
        <v>0</v>
      </c>
      <c r="F324" s="2"/>
      <c r="G324" s="10">
        <v>0.45000000000000107</v>
      </c>
      <c r="H324" s="10">
        <v>2840.2000000000012</v>
      </c>
      <c r="I324" s="10">
        <v>2.4500000000000011</v>
      </c>
      <c r="J324" s="10">
        <v>3458.9500000000003</v>
      </c>
    </row>
    <row r="325" spans="1:10" x14ac:dyDescent="0.25">
      <c r="A325" s="14">
        <v>46162</v>
      </c>
      <c r="B325" s="1">
        <v>17.7</v>
      </c>
      <c r="C325" s="1">
        <v>4.5999999999999996</v>
      </c>
      <c r="D325" s="2">
        <v>11.149999999999999</v>
      </c>
      <c r="E325" s="2">
        <v>0</v>
      </c>
      <c r="F325" s="2"/>
      <c r="G325" s="11">
        <v>1.1499999999999986</v>
      </c>
      <c r="H325" s="11">
        <v>2841.3500000000013</v>
      </c>
      <c r="I325" s="11">
        <v>3.1499999999999986</v>
      </c>
      <c r="J325" s="11">
        <v>3462.1000000000004</v>
      </c>
    </row>
    <row r="326" spans="1:10" x14ac:dyDescent="0.25">
      <c r="A326" s="14">
        <v>46163</v>
      </c>
      <c r="B326" s="1">
        <v>14.6</v>
      </c>
      <c r="C326" s="1">
        <v>4.5999999999999996</v>
      </c>
      <c r="D326" s="2">
        <v>9.6</v>
      </c>
      <c r="E326" s="2">
        <v>0</v>
      </c>
      <c r="F326" s="2"/>
      <c r="G326" s="10">
        <v>0</v>
      </c>
      <c r="H326" s="10">
        <v>2841.3500000000013</v>
      </c>
      <c r="I326" s="10">
        <v>1.5999999999999996</v>
      </c>
      <c r="J326" s="10">
        <v>3463.7000000000003</v>
      </c>
    </row>
    <row r="327" spans="1:10" x14ac:dyDescent="0.25">
      <c r="A327" s="14">
        <v>46164</v>
      </c>
      <c r="B327" s="1">
        <v>14</v>
      </c>
      <c r="C327" s="1">
        <v>3.1</v>
      </c>
      <c r="D327" s="2">
        <v>8.5500000000000007</v>
      </c>
      <c r="E327" s="2">
        <v>0</v>
      </c>
      <c r="F327" s="2"/>
      <c r="G327" s="11">
        <v>0</v>
      </c>
      <c r="H327" s="11">
        <v>2841.3500000000013</v>
      </c>
      <c r="I327" s="11">
        <v>0.55000000000000071</v>
      </c>
      <c r="J327" s="11">
        <v>3464.2500000000005</v>
      </c>
    </row>
    <row r="328" spans="1:10" x14ac:dyDescent="0.25">
      <c r="A328" s="14">
        <v>46165</v>
      </c>
      <c r="B328" s="1">
        <v>14.8</v>
      </c>
      <c r="C328" s="1">
        <v>2.5</v>
      </c>
      <c r="D328" s="2">
        <v>8.65</v>
      </c>
      <c r="E328" s="2">
        <v>0</v>
      </c>
      <c r="F328" s="2"/>
      <c r="G328" s="10">
        <v>0</v>
      </c>
      <c r="H328" s="10">
        <v>2841.3500000000013</v>
      </c>
      <c r="I328" s="10">
        <v>0.65000000000000036</v>
      </c>
      <c r="J328" s="10">
        <v>3464.9000000000005</v>
      </c>
    </row>
    <row r="329" spans="1:10" x14ac:dyDescent="0.25">
      <c r="A329" s="14">
        <v>46166</v>
      </c>
      <c r="B329" s="1">
        <v>16.100000000000001</v>
      </c>
      <c r="C329" s="1">
        <v>4.0999999999999996</v>
      </c>
      <c r="D329" s="2">
        <v>10.100000000000001</v>
      </c>
      <c r="E329" s="2">
        <v>0</v>
      </c>
      <c r="F329" s="2"/>
      <c r="G329" s="11">
        <v>0.10000000000000142</v>
      </c>
      <c r="H329" s="11">
        <v>2841.4500000000012</v>
      </c>
      <c r="I329" s="11">
        <v>2.1000000000000014</v>
      </c>
      <c r="J329" s="11">
        <v>3467.0000000000005</v>
      </c>
    </row>
    <row r="330" spans="1:10" x14ac:dyDescent="0.25">
      <c r="A330" s="14">
        <v>46167</v>
      </c>
      <c r="B330" s="1">
        <v>18.399999999999999</v>
      </c>
      <c r="C330" s="1">
        <v>5.5</v>
      </c>
      <c r="D330" s="2">
        <v>11.95</v>
      </c>
      <c r="E330" s="2">
        <v>0</v>
      </c>
      <c r="F330" s="2"/>
      <c r="G330" s="10">
        <v>1.9499999999999993</v>
      </c>
      <c r="H330" s="10">
        <v>2843.400000000001</v>
      </c>
      <c r="I330" s="10">
        <v>3.9499999999999993</v>
      </c>
      <c r="J330" s="10">
        <v>3470.9500000000003</v>
      </c>
    </row>
    <row r="331" spans="1:10" x14ac:dyDescent="0.25">
      <c r="A331" s="14">
        <v>46168</v>
      </c>
      <c r="B331" s="1">
        <v>19.100000000000001</v>
      </c>
      <c r="C331" s="1">
        <v>4.9000000000000004</v>
      </c>
      <c r="D331" s="2">
        <v>12</v>
      </c>
      <c r="E331" s="2">
        <v>0</v>
      </c>
      <c r="F331" s="2"/>
      <c r="G331" s="11">
        <v>2</v>
      </c>
      <c r="H331" s="11">
        <v>2845.400000000001</v>
      </c>
      <c r="I331" s="11">
        <v>4</v>
      </c>
      <c r="J331" s="11">
        <v>3474.9500000000003</v>
      </c>
    </row>
    <row r="332" spans="1:10" x14ac:dyDescent="0.25">
      <c r="A332" s="14">
        <v>46169</v>
      </c>
      <c r="B332" s="1">
        <v>18.7</v>
      </c>
      <c r="C332" s="1">
        <v>7.3</v>
      </c>
      <c r="D332" s="2">
        <v>13</v>
      </c>
      <c r="E332" s="2">
        <v>0</v>
      </c>
      <c r="F332" s="2"/>
      <c r="G332" s="10">
        <v>3</v>
      </c>
      <c r="H332" s="10">
        <v>2848.400000000001</v>
      </c>
      <c r="I332" s="10">
        <v>5</v>
      </c>
      <c r="J332" s="10">
        <v>3479.9500000000003</v>
      </c>
    </row>
    <row r="333" spans="1:10" x14ac:dyDescent="0.25">
      <c r="A333" s="14">
        <v>46170</v>
      </c>
      <c r="B333" s="1">
        <v>16.100000000000001</v>
      </c>
      <c r="C333" s="1">
        <v>10.6</v>
      </c>
      <c r="D333" s="2">
        <v>13.350000000000001</v>
      </c>
      <c r="E333" s="2">
        <v>0.7</v>
      </c>
      <c r="F333" s="2"/>
      <c r="G333" s="11">
        <v>3.3500000000000014</v>
      </c>
      <c r="H333" s="11">
        <v>2851.7500000000009</v>
      </c>
      <c r="I333" s="11">
        <v>5.3500000000000014</v>
      </c>
      <c r="J333" s="11">
        <v>3485.3</v>
      </c>
    </row>
    <row r="334" spans="1:10" x14ac:dyDescent="0.25">
      <c r="A334" s="14">
        <v>46171</v>
      </c>
      <c r="B334" s="1">
        <v>18.100000000000001</v>
      </c>
      <c r="C334" s="1">
        <v>11.1</v>
      </c>
      <c r="D334" s="2">
        <v>14.600000000000001</v>
      </c>
      <c r="E334" s="2">
        <v>0</v>
      </c>
      <c r="F334" s="2"/>
      <c r="G334" s="10">
        <v>4.6000000000000014</v>
      </c>
      <c r="H334" s="10">
        <v>2856.3500000000008</v>
      </c>
      <c r="I334" s="10">
        <v>6.6000000000000014</v>
      </c>
      <c r="J334" s="10">
        <v>3491.9</v>
      </c>
    </row>
    <row r="335" spans="1:10" x14ac:dyDescent="0.25">
      <c r="A335" s="14">
        <v>46172</v>
      </c>
      <c r="B335" s="1">
        <v>18.899999999999999</v>
      </c>
      <c r="C335" s="1">
        <v>7.8</v>
      </c>
      <c r="D335" s="2">
        <v>13.35</v>
      </c>
      <c r="E335" s="2">
        <v>0</v>
      </c>
      <c r="F335" s="2"/>
      <c r="G335" s="11">
        <v>3.3499999999999996</v>
      </c>
      <c r="H335" s="11">
        <v>2859.7000000000007</v>
      </c>
      <c r="I335" s="11">
        <v>5.35</v>
      </c>
      <c r="J335" s="11">
        <v>3497.25</v>
      </c>
    </row>
    <row r="336" spans="1:10" x14ac:dyDescent="0.25">
      <c r="A336" s="14">
        <v>46173</v>
      </c>
      <c r="B336" s="1">
        <v>20.8</v>
      </c>
      <c r="C336" s="1">
        <v>7.8</v>
      </c>
      <c r="D336" s="2">
        <v>14.3</v>
      </c>
      <c r="E336" s="2">
        <v>0</v>
      </c>
      <c r="F336" s="2"/>
      <c r="G336" s="10">
        <v>4.3000000000000007</v>
      </c>
      <c r="H336" s="10">
        <v>2864.0000000000009</v>
      </c>
      <c r="I336" s="10">
        <v>6.3000000000000007</v>
      </c>
      <c r="J336" s="10">
        <v>3503.55</v>
      </c>
    </row>
    <row r="337" spans="1:10" x14ac:dyDescent="0.25">
      <c r="A337" s="14">
        <v>46174</v>
      </c>
      <c r="B337" s="1">
        <v>18.7</v>
      </c>
      <c r="C337" s="1">
        <v>13.7</v>
      </c>
      <c r="D337" s="2">
        <v>16.2</v>
      </c>
      <c r="E337" s="2">
        <v>0.7</v>
      </c>
      <c r="F337" s="2"/>
      <c r="G337" s="11">
        <v>6.1999999999999993</v>
      </c>
      <c r="H337" s="11">
        <v>2870.2000000000007</v>
      </c>
      <c r="I337" s="11">
        <v>8.1999999999999993</v>
      </c>
      <c r="J337" s="11">
        <v>3511.75</v>
      </c>
    </row>
    <row r="338" spans="1:10" x14ac:dyDescent="0.25">
      <c r="A338" s="14">
        <v>46175</v>
      </c>
      <c r="B338" s="1">
        <v>17.7</v>
      </c>
      <c r="C338" s="1">
        <v>11.9</v>
      </c>
      <c r="D338" s="2">
        <v>14.8</v>
      </c>
      <c r="E338" s="2">
        <v>0</v>
      </c>
      <c r="F338" s="2"/>
      <c r="G338" s="10">
        <v>4.8000000000000007</v>
      </c>
      <c r="H338" s="10">
        <v>2875.0000000000009</v>
      </c>
      <c r="I338" s="10">
        <v>6.8000000000000007</v>
      </c>
      <c r="J338" s="10">
        <v>3518.55</v>
      </c>
    </row>
    <row r="339" spans="1:10" x14ac:dyDescent="0.25">
      <c r="A339" s="14">
        <v>46176</v>
      </c>
      <c r="B339" s="1">
        <v>17.7</v>
      </c>
      <c r="C339" s="1">
        <v>11.9</v>
      </c>
      <c r="D339" s="2">
        <v>14.8</v>
      </c>
      <c r="E339" s="2">
        <v>0.8</v>
      </c>
      <c r="F339" s="2"/>
      <c r="G339" s="11">
        <v>4.8000000000000007</v>
      </c>
      <c r="H339" s="11">
        <v>2879.8000000000011</v>
      </c>
      <c r="I339" s="11">
        <v>6.8000000000000007</v>
      </c>
      <c r="J339" s="11">
        <v>3525.3500000000004</v>
      </c>
    </row>
    <row r="340" spans="1:10" x14ac:dyDescent="0.25">
      <c r="A340" s="14">
        <v>46177</v>
      </c>
      <c r="B340" s="1">
        <v>21.5</v>
      </c>
      <c r="C340" s="1">
        <v>14.2</v>
      </c>
      <c r="D340" s="2">
        <v>17.850000000000001</v>
      </c>
      <c r="E340" s="2">
        <v>7.3</v>
      </c>
      <c r="F340" s="2"/>
      <c r="G340" s="10">
        <v>7.8500000000000014</v>
      </c>
      <c r="H340" s="10">
        <v>2887.650000000001</v>
      </c>
      <c r="I340" s="10">
        <v>9.8500000000000014</v>
      </c>
      <c r="J340" s="10">
        <v>3535.2000000000003</v>
      </c>
    </row>
    <row r="341" spans="1:10" x14ac:dyDescent="0.25">
      <c r="A341" s="14">
        <v>46178</v>
      </c>
      <c r="B341" s="1">
        <v>20.6</v>
      </c>
      <c r="C341" s="1">
        <v>15.1</v>
      </c>
      <c r="D341" s="2">
        <v>17.850000000000001</v>
      </c>
      <c r="E341" s="2">
        <v>2.2000000000000002</v>
      </c>
      <c r="F341" s="2"/>
      <c r="G341" s="11">
        <v>7.8500000000000014</v>
      </c>
      <c r="H341" s="11">
        <v>2895.5000000000009</v>
      </c>
      <c r="I341" s="11">
        <v>9.8500000000000014</v>
      </c>
      <c r="J341" s="11">
        <v>3545.05</v>
      </c>
    </row>
    <row r="342" spans="1:10" x14ac:dyDescent="0.25">
      <c r="A342" s="14">
        <v>46179</v>
      </c>
      <c r="B342" s="1">
        <v>19.8</v>
      </c>
      <c r="C342" s="1">
        <v>14.1</v>
      </c>
      <c r="D342" s="2">
        <v>16.95</v>
      </c>
      <c r="E342" s="2">
        <v>0.3</v>
      </c>
      <c r="F342" s="2"/>
      <c r="G342" s="10">
        <v>6.9499999999999993</v>
      </c>
      <c r="H342" s="10">
        <v>2902.4500000000007</v>
      </c>
      <c r="I342" s="10">
        <v>8.9499999999999993</v>
      </c>
      <c r="J342" s="10">
        <v>3554</v>
      </c>
    </row>
    <row r="343" spans="1:10" x14ac:dyDescent="0.25">
      <c r="A343" s="14">
        <v>46180</v>
      </c>
      <c r="B343" s="1">
        <v>17.3</v>
      </c>
      <c r="C343" s="1">
        <v>12.5</v>
      </c>
      <c r="D343" s="2">
        <v>14.9</v>
      </c>
      <c r="E343" s="2">
        <v>5.0999999999999996</v>
      </c>
      <c r="F343" s="2"/>
      <c r="G343" s="11">
        <v>4.9000000000000004</v>
      </c>
      <c r="H343" s="11">
        <v>2907.3500000000008</v>
      </c>
      <c r="I343" s="11">
        <v>6.9</v>
      </c>
      <c r="J343" s="11">
        <v>3560.9</v>
      </c>
    </row>
    <row r="344" spans="1:10" x14ac:dyDescent="0.25">
      <c r="A344" s="14">
        <v>46181</v>
      </c>
      <c r="B344" s="1">
        <v>15.1</v>
      </c>
      <c r="C344" s="1">
        <v>11.4</v>
      </c>
      <c r="D344" s="2">
        <v>13.25</v>
      </c>
      <c r="E344" s="2">
        <v>1.1000000000000001</v>
      </c>
      <c r="F344" s="2"/>
      <c r="G344" s="10">
        <v>3.25</v>
      </c>
      <c r="H344" s="10">
        <v>2910.6000000000008</v>
      </c>
      <c r="I344" s="10">
        <v>5.25</v>
      </c>
      <c r="J344" s="10">
        <v>3566.15</v>
      </c>
    </row>
    <row r="345" spans="1:10" x14ac:dyDescent="0.25">
      <c r="A345" s="14">
        <v>46182</v>
      </c>
      <c r="B345" s="1">
        <v>14</v>
      </c>
      <c r="C345" s="1">
        <v>7.9</v>
      </c>
      <c r="D345" s="2">
        <v>10.95</v>
      </c>
      <c r="E345" s="2">
        <v>0</v>
      </c>
      <c r="F345" s="2"/>
      <c r="G345" s="11">
        <v>0.94999999999999929</v>
      </c>
      <c r="H345" s="11">
        <v>2911.5500000000006</v>
      </c>
      <c r="I345" s="11">
        <v>2.9499999999999993</v>
      </c>
      <c r="J345" s="11">
        <v>3569.1</v>
      </c>
    </row>
    <row r="346" spans="1:10" x14ac:dyDescent="0.25">
      <c r="A346" s="14">
        <v>46183</v>
      </c>
      <c r="B346" s="1">
        <v>15.5</v>
      </c>
      <c r="C346" s="1">
        <v>9.1999999999999993</v>
      </c>
      <c r="D346" s="2">
        <v>12.35</v>
      </c>
      <c r="E346" s="2">
        <v>0.1</v>
      </c>
      <c r="F346" s="2"/>
      <c r="G346" s="10">
        <v>2.3499999999999996</v>
      </c>
      <c r="H346" s="10">
        <v>2913.9000000000005</v>
      </c>
      <c r="I346" s="10">
        <v>4.3499999999999996</v>
      </c>
      <c r="J346" s="10">
        <v>3573.45</v>
      </c>
    </row>
    <row r="347" spans="1:10" x14ac:dyDescent="0.25">
      <c r="A347" s="14">
        <v>46184</v>
      </c>
      <c r="B347" s="1">
        <v>17.399999999999999</v>
      </c>
      <c r="C347" s="1">
        <v>7.2</v>
      </c>
      <c r="D347" s="2">
        <v>12.299999999999999</v>
      </c>
      <c r="E347" s="2">
        <v>0</v>
      </c>
      <c r="F347" s="2"/>
      <c r="G347" s="11">
        <v>2.2999999999999989</v>
      </c>
      <c r="H347" s="11">
        <v>2916.2000000000007</v>
      </c>
      <c r="I347" s="11">
        <v>4.2999999999999989</v>
      </c>
      <c r="J347" s="11">
        <v>3577.75</v>
      </c>
    </row>
    <row r="348" spans="1:10" x14ac:dyDescent="0.25">
      <c r="A348" s="14">
        <v>46185</v>
      </c>
      <c r="B348" s="1">
        <v>17.899999999999999</v>
      </c>
      <c r="C348" s="1">
        <v>8</v>
      </c>
      <c r="D348" s="2">
        <v>12.95</v>
      </c>
      <c r="E348" s="2">
        <v>0</v>
      </c>
      <c r="F348" s="2"/>
      <c r="G348" s="10">
        <v>2.9499999999999993</v>
      </c>
      <c r="H348" s="10">
        <v>2919.1500000000005</v>
      </c>
      <c r="I348" s="10">
        <v>4.9499999999999993</v>
      </c>
      <c r="J348" s="10">
        <v>3582.7</v>
      </c>
    </row>
    <row r="349" spans="1:10" x14ac:dyDescent="0.25">
      <c r="A349" s="14">
        <v>46186</v>
      </c>
      <c r="B349" s="1">
        <v>12.1</v>
      </c>
      <c r="C349" s="1">
        <v>6</v>
      </c>
      <c r="D349" s="2">
        <v>9.0500000000000007</v>
      </c>
      <c r="E349" s="2">
        <v>0.1</v>
      </c>
      <c r="F349" s="2"/>
      <c r="G349" s="11">
        <v>0</v>
      </c>
      <c r="H349" s="11">
        <v>2919.1500000000005</v>
      </c>
      <c r="I349" s="11">
        <v>1.0500000000000007</v>
      </c>
      <c r="J349" s="11">
        <v>3583.75</v>
      </c>
    </row>
    <row r="350" spans="1:10" x14ac:dyDescent="0.25">
      <c r="A350" s="14">
        <v>46187</v>
      </c>
      <c r="B350" s="1">
        <v>11.2</v>
      </c>
      <c r="C350" s="1">
        <v>1.6</v>
      </c>
      <c r="D350" s="2">
        <v>6.3999999999999995</v>
      </c>
      <c r="E350" s="2">
        <v>0</v>
      </c>
      <c r="F350" s="2"/>
      <c r="G350" s="10">
        <v>0</v>
      </c>
      <c r="H350" s="10">
        <v>2919.1500000000005</v>
      </c>
      <c r="I350" s="10">
        <v>0</v>
      </c>
      <c r="J350" s="10">
        <v>3583.75</v>
      </c>
    </row>
    <row r="351" spans="1:10" x14ac:dyDescent="0.25">
      <c r="A351" s="14">
        <v>46188</v>
      </c>
      <c r="B351" s="1">
        <v>17.100000000000001</v>
      </c>
      <c r="C351" s="1">
        <v>3.4</v>
      </c>
      <c r="D351" s="2">
        <v>10.25</v>
      </c>
      <c r="E351" s="2">
        <v>0</v>
      </c>
      <c r="F351" s="2"/>
      <c r="G351" s="11">
        <v>0.25</v>
      </c>
      <c r="H351" s="11">
        <v>2919.4000000000005</v>
      </c>
      <c r="I351" s="11">
        <v>2.25</v>
      </c>
      <c r="J351" s="11">
        <v>3586</v>
      </c>
    </row>
    <row r="352" spans="1:10" x14ac:dyDescent="0.25">
      <c r="A352" s="14">
        <v>46189</v>
      </c>
      <c r="B352" s="1">
        <v>19.5</v>
      </c>
      <c r="C352" s="1">
        <v>5</v>
      </c>
      <c r="D352" s="2">
        <v>12.25</v>
      </c>
      <c r="E352" s="2">
        <v>0</v>
      </c>
      <c r="F352" s="2"/>
      <c r="G352" s="10">
        <v>2.25</v>
      </c>
      <c r="H352" s="10">
        <v>2921.6500000000005</v>
      </c>
      <c r="I352" s="10">
        <v>4.25</v>
      </c>
      <c r="J352" s="10">
        <v>3590.25</v>
      </c>
    </row>
    <row r="353" spans="1:10" x14ac:dyDescent="0.25">
      <c r="A353" s="14">
        <v>46190</v>
      </c>
      <c r="B353" s="1">
        <v>17.100000000000001</v>
      </c>
      <c r="C353" s="1">
        <v>5.4</v>
      </c>
      <c r="D353" s="2">
        <v>11.25</v>
      </c>
      <c r="E353" s="2">
        <v>0</v>
      </c>
      <c r="F353" s="2"/>
      <c r="G353" s="11">
        <v>1.25</v>
      </c>
      <c r="H353" s="11">
        <v>2922.9000000000005</v>
      </c>
      <c r="I353" s="11">
        <v>3.25</v>
      </c>
      <c r="J353" s="11">
        <v>3593.5</v>
      </c>
    </row>
    <row r="354" spans="1:10" x14ac:dyDescent="0.25">
      <c r="A354" s="14">
        <v>46191</v>
      </c>
      <c r="B354" s="1">
        <v>15.6</v>
      </c>
      <c r="C354" s="1">
        <v>10.199999999999999</v>
      </c>
      <c r="D354" s="2">
        <v>12.899999999999999</v>
      </c>
      <c r="E354" s="2">
        <v>0.3</v>
      </c>
      <c r="F354" s="2"/>
      <c r="G354" s="10">
        <v>2.8999999999999986</v>
      </c>
      <c r="H354" s="10">
        <v>2925.8000000000006</v>
      </c>
      <c r="I354" s="10">
        <v>4.8999999999999986</v>
      </c>
      <c r="J354" s="10">
        <v>3598.4</v>
      </c>
    </row>
    <row r="355" spans="1:10" x14ac:dyDescent="0.25">
      <c r="A355" s="14">
        <v>46192</v>
      </c>
      <c r="B355" s="1">
        <v>16.5</v>
      </c>
      <c r="C355" s="1">
        <v>7.1</v>
      </c>
      <c r="D355" s="2">
        <v>11.8</v>
      </c>
      <c r="E355" s="2">
        <v>0</v>
      </c>
      <c r="F355" s="2"/>
      <c r="G355" s="11">
        <v>1.8000000000000007</v>
      </c>
      <c r="H355" s="11">
        <v>2927.6000000000008</v>
      </c>
      <c r="I355" s="11">
        <v>3.8000000000000007</v>
      </c>
      <c r="J355" s="11">
        <v>3602.2000000000003</v>
      </c>
    </row>
    <row r="356" spans="1:10" x14ac:dyDescent="0.25">
      <c r="A356" s="14">
        <v>46193</v>
      </c>
      <c r="B356" s="1">
        <v>15.9</v>
      </c>
      <c r="C356" s="1">
        <v>5.9</v>
      </c>
      <c r="D356" s="2">
        <v>10.9</v>
      </c>
      <c r="E356" s="2">
        <v>0</v>
      </c>
      <c r="F356" s="2"/>
      <c r="G356" s="10">
        <v>0.90000000000000036</v>
      </c>
      <c r="H356" s="10">
        <v>2928.5000000000009</v>
      </c>
      <c r="I356" s="10">
        <v>2.9000000000000004</v>
      </c>
      <c r="J356" s="10">
        <v>3605.1000000000004</v>
      </c>
    </row>
    <row r="357" spans="1:10" x14ac:dyDescent="0.25">
      <c r="A357" s="14">
        <v>46194</v>
      </c>
      <c r="B357" s="1">
        <v>15.6</v>
      </c>
      <c r="C357" s="1">
        <v>6.6</v>
      </c>
      <c r="D357" s="2">
        <v>11.1</v>
      </c>
      <c r="E357" s="2">
        <v>0</v>
      </c>
      <c r="F357" s="2"/>
      <c r="G357" s="11">
        <v>1.0999999999999996</v>
      </c>
      <c r="H357" s="11">
        <v>2929.6000000000008</v>
      </c>
      <c r="I357" s="11">
        <v>3.0999999999999996</v>
      </c>
      <c r="J357" s="11">
        <v>3608.2000000000003</v>
      </c>
    </row>
    <row r="358" spans="1:10" x14ac:dyDescent="0.25">
      <c r="A358" s="14">
        <v>46195</v>
      </c>
      <c r="B358" s="1">
        <v>12.8</v>
      </c>
      <c r="C358" s="1">
        <v>4.7</v>
      </c>
      <c r="D358" s="2">
        <v>8.75</v>
      </c>
      <c r="E358" s="2">
        <v>1.3</v>
      </c>
      <c r="F358" s="2"/>
      <c r="G358" s="10">
        <v>0</v>
      </c>
      <c r="H358" s="10">
        <v>2929.6000000000008</v>
      </c>
      <c r="I358" s="10">
        <v>0.75</v>
      </c>
      <c r="J358" s="10">
        <v>3608.9500000000003</v>
      </c>
    </row>
    <row r="359" spans="1:10" x14ac:dyDescent="0.25">
      <c r="A359" s="14">
        <v>46196</v>
      </c>
      <c r="B359" s="1">
        <v>14.9</v>
      </c>
      <c r="C359" s="1">
        <v>3.8</v>
      </c>
      <c r="D359" s="2">
        <v>9.35</v>
      </c>
      <c r="E359" s="2">
        <v>0</v>
      </c>
      <c r="F359" s="2"/>
      <c r="G359" s="11">
        <v>0</v>
      </c>
      <c r="H359" s="11">
        <v>2929.6000000000008</v>
      </c>
      <c r="I359" s="11">
        <v>1.3499999999999996</v>
      </c>
      <c r="J359" s="11">
        <v>3610.3</v>
      </c>
    </row>
    <row r="360" spans="1:10" x14ac:dyDescent="0.25">
      <c r="A360" s="14">
        <v>46197</v>
      </c>
      <c r="B360" s="1">
        <v>11.3</v>
      </c>
      <c r="C360" s="1">
        <v>0.2</v>
      </c>
      <c r="D360" s="2">
        <v>5.75</v>
      </c>
      <c r="E360" s="2">
        <v>0</v>
      </c>
      <c r="F360" s="2"/>
      <c r="G360" s="10">
        <v>0</v>
      </c>
      <c r="H360" s="10">
        <v>2929.6000000000008</v>
      </c>
      <c r="I360" s="10">
        <v>0</v>
      </c>
      <c r="J360" s="10">
        <v>3610.3</v>
      </c>
    </row>
    <row r="361" spans="1:10" x14ac:dyDescent="0.25">
      <c r="A361" s="14">
        <v>46198</v>
      </c>
      <c r="B361" s="1">
        <v>14.6</v>
      </c>
      <c r="C361" s="1">
        <v>4.9000000000000004</v>
      </c>
      <c r="D361" s="2">
        <v>9.75</v>
      </c>
      <c r="E361" s="2">
        <v>0.1</v>
      </c>
      <c r="F361" s="2"/>
      <c r="G361" s="11">
        <v>0</v>
      </c>
      <c r="H361" s="11">
        <v>2929.6000000000008</v>
      </c>
      <c r="I361" s="11">
        <v>1.75</v>
      </c>
      <c r="J361" s="11">
        <v>3612.05</v>
      </c>
    </row>
    <row r="362" spans="1:10" x14ac:dyDescent="0.25">
      <c r="A362" s="14">
        <v>46199</v>
      </c>
      <c r="B362" s="1">
        <v>17.2</v>
      </c>
      <c r="C362" s="1">
        <v>4.5999999999999996</v>
      </c>
      <c r="D362" s="2">
        <v>10.899999999999999</v>
      </c>
      <c r="E362" s="2">
        <v>0</v>
      </c>
      <c r="F362" s="2"/>
      <c r="G362" s="10">
        <v>0.89999999999999858</v>
      </c>
      <c r="H362" s="10">
        <v>2930.5000000000009</v>
      </c>
      <c r="I362" s="10">
        <v>2.8999999999999986</v>
      </c>
      <c r="J362" s="10">
        <v>3614.9500000000003</v>
      </c>
    </row>
    <row r="363" spans="1:10" x14ac:dyDescent="0.25">
      <c r="A363" s="14">
        <v>46200</v>
      </c>
      <c r="B363" s="1">
        <v>17.5</v>
      </c>
      <c r="C363" s="1">
        <v>4.0999999999999996</v>
      </c>
      <c r="D363" s="2">
        <v>10.8</v>
      </c>
      <c r="E363" s="2">
        <v>0</v>
      </c>
      <c r="F363" s="2"/>
      <c r="G363" s="11">
        <v>0.80000000000000071</v>
      </c>
      <c r="H363" s="11">
        <v>2931.3000000000011</v>
      </c>
      <c r="I363" s="11">
        <v>2.8000000000000007</v>
      </c>
      <c r="J363" s="11">
        <v>3617.7500000000005</v>
      </c>
    </row>
    <row r="364" spans="1:10" x14ac:dyDescent="0.25">
      <c r="A364" s="14">
        <v>46201</v>
      </c>
      <c r="B364" s="1">
        <v>14.6</v>
      </c>
      <c r="C364" s="1">
        <v>5.4</v>
      </c>
      <c r="D364" s="2">
        <v>10</v>
      </c>
      <c r="E364" s="2">
        <v>0.5</v>
      </c>
      <c r="F364" s="2"/>
      <c r="G364" s="10">
        <v>0</v>
      </c>
      <c r="H364" s="10">
        <v>2931.3000000000011</v>
      </c>
      <c r="I364" s="10">
        <v>2</v>
      </c>
      <c r="J364" s="10">
        <v>3619.7500000000005</v>
      </c>
    </row>
    <row r="365" spans="1:10" x14ac:dyDescent="0.25">
      <c r="A365" s="14">
        <v>46202</v>
      </c>
      <c r="B365" s="1">
        <v>14.7</v>
      </c>
      <c r="C365" s="1">
        <v>2.6</v>
      </c>
      <c r="D365" s="2">
        <v>8.65</v>
      </c>
      <c r="E365" s="2">
        <v>0</v>
      </c>
      <c r="F365" s="2"/>
      <c r="G365" s="11">
        <v>0</v>
      </c>
      <c r="H365" s="11">
        <v>2931.3000000000011</v>
      </c>
      <c r="I365" s="11">
        <v>0.65000000000000036</v>
      </c>
      <c r="J365" s="11">
        <v>3620.4000000000005</v>
      </c>
    </row>
    <row r="366" spans="1:10" x14ac:dyDescent="0.25">
      <c r="A366" s="14">
        <v>46203</v>
      </c>
      <c r="B366" s="1">
        <v>15.7</v>
      </c>
      <c r="C366" s="1">
        <v>1.3</v>
      </c>
      <c r="D366" s="2">
        <v>8.5</v>
      </c>
      <c r="E366" s="2">
        <v>0</v>
      </c>
      <c r="F366" s="2"/>
      <c r="G366" s="10">
        <v>0</v>
      </c>
      <c r="H366" s="10">
        <v>2931.3000000000011</v>
      </c>
      <c r="I366" s="10">
        <v>0.5</v>
      </c>
      <c r="J366" s="10">
        <v>3620.9000000000005</v>
      </c>
    </row>
    <row r="367" spans="1:10" x14ac:dyDescent="0.25">
      <c r="A367" s="14">
        <v>46204</v>
      </c>
      <c r="B367" s="1">
        <v>9.9</v>
      </c>
      <c r="C367" s="1">
        <v>4</v>
      </c>
      <c r="D367" s="2">
        <v>6.95</v>
      </c>
      <c r="E367" s="2">
        <v>0.2</v>
      </c>
      <c r="F367" s="2"/>
      <c r="G367" s="11">
        <v>0</v>
      </c>
      <c r="H367" s="11">
        <v>2931.3000000000011</v>
      </c>
      <c r="I367" s="11">
        <v>0</v>
      </c>
      <c r="J367" s="11">
        <v>3620.9000000000005</v>
      </c>
    </row>
    <row r="368" spans="1:10" x14ac:dyDescent="0.25">
      <c r="B368" s="1"/>
      <c r="C368" s="1"/>
      <c r="D368" s="2"/>
      <c r="E368" s="2"/>
      <c r="F368" s="2"/>
      <c r="G368" s="10"/>
      <c r="H368" s="10"/>
      <c r="I368" s="10"/>
      <c r="J368" s="10"/>
    </row>
    <row r="369" spans="2:10" x14ac:dyDescent="0.25">
      <c r="B369" s="1"/>
      <c r="C369" s="1"/>
      <c r="D369" s="2"/>
      <c r="E369" s="2"/>
      <c r="F369" s="2"/>
      <c r="G369" s="11"/>
      <c r="H369" s="11"/>
      <c r="I369" s="11"/>
      <c r="J369" s="11"/>
    </row>
    <row r="370" spans="2:10" x14ac:dyDescent="0.25">
      <c r="B370" s="1"/>
      <c r="C370" s="1"/>
      <c r="D370" s="2"/>
      <c r="E370" s="2"/>
      <c r="F370" s="2"/>
      <c r="G370" s="10"/>
      <c r="H370" s="10"/>
      <c r="I370" s="10"/>
      <c r="J370" s="10"/>
    </row>
    <row r="371" spans="2:10" x14ac:dyDescent="0.25">
      <c r="B371" s="1"/>
      <c r="C371" s="1"/>
      <c r="D371" s="2"/>
      <c r="E371" s="2"/>
      <c r="F371" s="2"/>
      <c r="G371" s="11"/>
      <c r="H371" s="11"/>
      <c r="I371" s="11"/>
      <c r="J371" s="11"/>
    </row>
    <row r="372" spans="2:10" x14ac:dyDescent="0.25">
      <c r="B372" s="1"/>
      <c r="C372" s="1"/>
      <c r="D372" s="2"/>
      <c r="E372" s="2"/>
      <c r="F372" s="2"/>
      <c r="G372" s="10"/>
      <c r="H372" s="10"/>
      <c r="I372" s="10"/>
      <c r="J372" s="10"/>
    </row>
    <row r="373" spans="2:10" x14ac:dyDescent="0.25">
      <c r="B373" s="1"/>
      <c r="C373" s="1"/>
      <c r="D373" s="2"/>
      <c r="E373" s="2"/>
      <c r="F373" s="2"/>
      <c r="G373" s="11"/>
      <c r="H373" s="11"/>
      <c r="I373" s="11"/>
      <c r="J373" s="11"/>
    </row>
    <row r="374" spans="2:10" x14ac:dyDescent="0.25">
      <c r="B374" s="1"/>
      <c r="C374" s="1"/>
      <c r="D374" s="2"/>
      <c r="E374" s="2"/>
      <c r="F374" s="2"/>
      <c r="G374" s="10"/>
      <c r="H374" s="10"/>
      <c r="I374" s="10"/>
      <c r="J374" s="10"/>
    </row>
    <row r="375" spans="2:10" x14ac:dyDescent="0.25">
      <c r="B375" s="1"/>
      <c r="C375" s="1"/>
      <c r="D375" s="2"/>
      <c r="E375" s="2"/>
      <c r="F375" s="2"/>
      <c r="G375" s="11"/>
      <c r="H375" s="11"/>
      <c r="I375" s="11"/>
      <c r="J375" s="11"/>
    </row>
    <row r="376" spans="2:10" x14ac:dyDescent="0.25">
      <c r="B376" s="1"/>
      <c r="C376" s="1"/>
      <c r="D376" s="2"/>
      <c r="E376" s="2"/>
      <c r="F376" s="2"/>
      <c r="G376" s="10"/>
      <c r="H376" s="10"/>
      <c r="I376" s="10"/>
      <c r="J376" s="10"/>
    </row>
    <row r="377" spans="2:10" x14ac:dyDescent="0.25">
      <c r="B377" s="1"/>
      <c r="C377" s="1"/>
      <c r="D377" s="2"/>
      <c r="E377" s="2"/>
      <c r="F377" s="2"/>
      <c r="G377" s="11"/>
      <c r="H377" s="11"/>
      <c r="I377" s="11"/>
      <c r="J377" s="11"/>
    </row>
    <row r="378" spans="2:10" x14ac:dyDescent="0.25">
      <c r="B378" s="1"/>
      <c r="C378" s="1"/>
      <c r="D378" s="2"/>
      <c r="E378" s="2"/>
      <c r="F378" s="2"/>
      <c r="G378" s="10"/>
      <c r="H378" s="10"/>
      <c r="I378" s="10"/>
      <c r="J378" s="10"/>
    </row>
    <row r="379" spans="2:10" x14ac:dyDescent="0.25">
      <c r="B379" s="1"/>
      <c r="C379" s="1"/>
      <c r="D379" s="2"/>
      <c r="E379" s="2"/>
      <c r="F379" s="2"/>
      <c r="G379" s="11"/>
      <c r="H379" s="11"/>
      <c r="I379" s="11"/>
      <c r="J379" s="11"/>
    </row>
    <row r="380" spans="2:10" x14ac:dyDescent="0.25">
      <c r="B380" s="1"/>
      <c r="C380" s="1"/>
      <c r="D380" s="2"/>
      <c r="E380" s="2"/>
      <c r="F380" s="2"/>
      <c r="G380" s="10"/>
      <c r="H380" s="10"/>
      <c r="I380" s="10"/>
      <c r="J380" s="10"/>
    </row>
    <row r="381" spans="2:10" x14ac:dyDescent="0.25">
      <c r="B381" s="1"/>
      <c r="C381" s="1"/>
      <c r="D381" s="2"/>
      <c r="E381" s="2"/>
      <c r="F381" s="2"/>
      <c r="G381" s="11"/>
      <c r="H381" s="11"/>
      <c r="I381" s="11"/>
      <c r="J381" s="11"/>
    </row>
    <row r="382" spans="2:10" x14ac:dyDescent="0.25">
      <c r="B382" s="1"/>
      <c r="C382" s="1"/>
      <c r="D382" s="2"/>
      <c r="E382" s="2"/>
      <c r="F382" s="2"/>
      <c r="G382" s="10"/>
      <c r="H382" s="10"/>
      <c r="I382" s="10"/>
      <c r="J382" s="10"/>
    </row>
    <row r="383" spans="2:10" x14ac:dyDescent="0.25">
      <c r="B383" s="1"/>
      <c r="C383" s="1"/>
      <c r="D383" s="2"/>
      <c r="E383" s="2"/>
      <c r="F383" s="2"/>
      <c r="G383" s="11"/>
      <c r="H383" s="11"/>
      <c r="I383" s="11"/>
      <c r="J383" s="11"/>
    </row>
    <row r="384" spans="2:10" x14ac:dyDescent="0.25">
      <c r="B384" s="1"/>
      <c r="C384" s="1"/>
      <c r="D384" s="2"/>
      <c r="E384" s="2"/>
      <c r="F384" s="2"/>
      <c r="G384" s="10"/>
      <c r="H384" s="10"/>
      <c r="I384" s="10"/>
      <c r="J384" s="10"/>
    </row>
    <row r="385" spans="2:10" x14ac:dyDescent="0.25">
      <c r="B385" s="1"/>
      <c r="C385" s="1"/>
      <c r="D385" s="2"/>
      <c r="E385" s="2"/>
      <c r="F385" s="2"/>
      <c r="G385" s="11"/>
      <c r="H385" s="11"/>
      <c r="I385" s="11"/>
      <c r="J385" s="11"/>
    </row>
    <row r="386" spans="2:10" x14ac:dyDescent="0.25">
      <c r="B386" s="1"/>
      <c r="C386" s="1"/>
      <c r="D386" s="2"/>
      <c r="E386" s="2"/>
      <c r="F386" s="2"/>
      <c r="G386" s="10"/>
      <c r="H386" s="10"/>
      <c r="I386" s="10"/>
      <c r="J386" s="10"/>
    </row>
    <row r="387" spans="2:10" x14ac:dyDescent="0.25">
      <c r="B387" s="1"/>
      <c r="C387" s="1"/>
      <c r="D387" s="2"/>
      <c r="E387" s="2"/>
      <c r="F387" s="2"/>
      <c r="G387" s="2"/>
      <c r="H387" s="2"/>
    </row>
    <row r="388" spans="2:10" x14ac:dyDescent="0.25">
      <c r="B388" s="1"/>
      <c r="C388" s="1"/>
      <c r="D388" s="2"/>
      <c r="E388" s="2"/>
      <c r="F388" s="2"/>
      <c r="G388" s="2"/>
      <c r="H388" s="2"/>
    </row>
    <row r="389" spans="2:10" x14ac:dyDescent="0.25">
      <c r="B389" s="1"/>
      <c r="C389" s="1"/>
      <c r="D389" s="2"/>
      <c r="E389" s="2"/>
      <c r="F389" s="2"/>
      <c r="G389" s="2"/>
      <c r="H389" s="2"/>
    </row>
    <row r="390" spans="2:10" x14ac:dyDescent="0.25">
      <c r="B390" s="1"/>
      <c r="C390" s="1"/>
      <c r="D390" s="2"/>
      <c r="E390" s="2"/>
      <c r="F390" s="2"/>
      <c r="G390" s="2"/>
      <c r="H390" s="2"/>
    </row>
    <row r="391" spans="2:10" x14ac:dyDescent="0.25">
      <c r="B391" s="1"/>
      <c r="C391" s="1"/>
      <c r="D391" s="2"/>
      <c r="E391" s="2"/>
      <c r="F391" s="2"/>
      <c r="G391" s="2"/>
      <c r="H391" s="2"/>
    </row>
    <row r="392" spans="2:10" x14ac:dyDescent="0.25">
      <c r="B392" s="1"/>
      <c r="C392" s="1"/>
      <c r="D392" s="2"/>
      <c r="E392" s="2"/>
      <c r="F392" s="2"/>
      <c r="G392" s="2"/>
      <c r="H392" s="2"/>
    </row>
    <row r="393" spans="2:10" x14ac:dyDescent="0.25">
      <c r="B393" s="1"/>
      <c r="C393" s="1"/>
      <c r="D393" s="2"/>
      <c r="E393" s="2"/>
      <c r="F393" s="2"/>
      <c r="G393" s="2"/>
      <c r="H393" s="2"/>
    </row>
    <row r="394" spans="2:10" x14ac:dyDescent="0.25">
      <c r="B394" s="1"/>
      <c r="C394" s="1"/>
      <c r="D394" s="2"/>
      <c r="E394" s="2"/>
      <c r="F394" s="2"/>
      <c r="G394" s="2"/>
      <c r="H394" s="2"/>
    </row>
  </sheetData>
  <sheetProtection algorithmName="SHA-512" hashValue="BOY2sAcn61Rkr4C6FBVVTn8XL6aV0kuX0St/N8SFt/x5r8lDdEkvqggVoADzNTd7/PDlYvbJMtOIpif0mSOB1Q==" saltValue="Ruenkls3nzBZ4yUmI2yEfQ==" spinCount="100000" sheet="1" objects="1" scenarios="1"/>
  <pageMargins left="0.7" right="0.7" top="0.75" bottom="0.75" header="0.3" footer="0.3"/>
  <pageSetup scale="1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7:O73"/>
  <sheetViews>
    <sheetView showGridLines="0" tabSelected="1" zoomScale="106" zoomScaleNormal="106" workbookViewId="0">
      <selection activeCell="D43" sqref="D43"/>
    </sheetView>
  </sheetViews>
  <sheetFormatPr baseColWidth="10" defaultRowHeight="15" x14ac:dyDescent="0.25"/>
  <cols>
    <col min="1" max="1" width="2.85546875" customWidth="1"/>
    <col min="3" max="3" width="19.28515625" customWidth="1"/>
    <col min="4" max="4" width="19.28515625" bestFit="1" customWidth="1"/>
    <col min="5" max="5" width="18" bestFit="1" customWidth="1"/>
    <col min="6" max="6" width="16.28515625" customWidth="1"/>
    <col min="7" max="7" width="2.85546875" customWidth="1"/>
    <col min="8" max="8" width="17.5703125" bestFit="1" customWidth="1"/>
    <col min="9" max="9" width="17.140625" bestFit="1" customWidth="1"/>
  </cols>
  <sheetData>
    <row r="7" spans="2:10" ht="15.75" x14ac:dyDescent="0.25">
      <c r="C7" s="54" t="s">
        <v>27</v>
      </c>
      <c r="D7" s="54"/>
      <c r="J7" s="19"/>
    </row>
    <row r="8" spans="2:10" ht="15" customHeight="1" x14ac:dyDescent="0.25">
      <c r="C8" s="17" t="s">
        <v>21</v>
      </c>
      <c r="D8" s="23" t="s">
        <v>34</v>
      </c>
      <c r="G8" s="55" t="s">
        <v>35</v>
      </c>
      <c r="H8" s="55"/>
      <c r="J8" s="19"/>
    </row>
    <row r="9" spans="2:10" x14ac:dyDescent="0.25">
      <c r="C9" s="15" t="s">
        <v>22</v>
      </c>
      <c r="D9" s="23" t="s">
        <v>25</v>
      </c>
      <c r="G9" s="55"/>
      <c r="H9" s="55"/>
    </row>
    <row r="10" spans="2:10" x14ac:dyDescent="0.25">
      <c r="C10" s="18" t="s">
        <v>23</v>
      </c>
      <c r="D10" s="52">
        <v>45839</v>
      </c>
      <c r="G10" s="55"/>
      <c r="H10" s="55"/>
    </row>
    <row r="11" spans="2:10" x14ac:dyDescent="0.25">
      <c r="C11" s="16" t="s">
        <v>24</v>
      </c>
      <c r="D11" s="32">
        <f>IF(D10="", "", DATE(YEAR(D10)+1, MONTH(D10), DAY(D10)))</f>
        <v>46204</v>
      </c>
      <c r="G11" s="55"/>
      <c r="H11" s="55"/>
    </row>
    <row r="12" spans="2:10" x14ac:dyDescent="0.25">
      <c r="C12" s="53" t="s">
        <v>26</v>
      </c>
      <c r="D12" s="53"/>
      <c r="G12" s="56" t="s">
        <v>33</v>
      </c>
      <c r="H12" s="56"/>
    </row>
    <row r="15" spans="2:10" x14ac:dyDescent="0.25">
      <c r="B15" s="8" t="s">
        <v>12</v>
      </c>
      <c r="C15" s="8" t="s">
        <v>13</v>
      </c>
      <c r="D15" s="8" t="s">
        <v>14</v>
      </c>
      <c r="E15" s="8" t="s">
        <v>38</v>
      </c>
      <c r="F15" s="4" t="s">
        <v>17</v>
      </c>
      <c r="G15" s="12"/>
      <c r="H15" s="17" t="s">
        <v>16</v>
      </c>
    </row>
    <row r="16" spans="2:10" x14ac:dyDescent="0.25">
      <c r="B16" s="25">
        <v>1</v>
      </c>
      <c r="C16" s="25" t="s">
        <v>39</v>
      </c>
      <c r="D16" s="24">
        <v>45915</v>
      </c>
      <c r="E16" s="26">
        <v>750</v>
      </c>
      <c r="F16" s="25">
        <v>8</v>
      </c>
      <c r="G16" s="13"/>
      <c r="H16" s="30">
        <f>IFERROR((INDEX(DATOS!A:A, MATCH(VLOOKUP(D16, DATOS!A:J, IF(F16=10, 8, 10), FALSE) + E16, IF(F16=10, DATOS!H:H, DATOS!J:J), 1)))+7, "")</f>
        <v>45991</v>
      </c>
    </row>
    <row r="17" spans="2:8" x14ac:dyDescent="0.25">
      <c r="B17" s="27">
        <v>2</v>
      </c>
      <c r="C17" s="27" t="s">
        <v>40</v>
      </c>
      <c r="D17" s="28">
        <v>45915</v>
      </c>
      <c r="E17" s="29">
        <v>800</v>
      </c>
      <c r="F17" s="27">
        <v>10</v>
      </c>
      <c r="G17" s="13"/>
      <c r="H17" s="31">
        <f>IFERROR((INDEX(DATOS!A:A, MATCH(VLOOKUP(D17, DATOS!A:J, IF(F17=10, 8, 10), FALSE) + E17, IF(F17=10, DATOS!H:H, DATOS!J:J), 1)))+7, "")</f>
        <v>46004</v>
      </c>
    </row>
    <row r="18" spans="2:8" x14ac:dyDescent="0.25">
      <c r="B18" s="25">
        <v>3</v>
      </c>
      <c r="C18" s="25" t="s">
        <v>41</v>
      </c>
      <c r="D18" s="24">
        <v>45901</v>
      </c>
      <c r="E18" s="26">
        <v>850</v>
      </c>
      <c r="F18" s="25">
        <v>10</v>
      </c>
      <c r="G18" s="13"/>
      <c r="H18" s="30">
        <f>IFERROR((INDEX(DATOS!A:A, MATCH(VLOOKUP(D18, DATOS!A:J, IF(F18=10, 8, 10), FALSE) + E18, IF(F18=10, DATOS!H:H, DATOS!J:J), 1)))+7, "")</f>
        <v>46003</v>
      </c>
    </row>
    <row r="19" spans="2:8" x14ac:dyDescent="0.25">
      <c r="B19" s="27">
        <v>4</v>
      </c>
      <c r="C19" s="27" t="s">
        <v>42</v>
      </c>
      <c r="D19" s="28">
        <v>45906</v>
      </c>
      <c r="E19" s="29">
        <v>900</v>
      </c>
      <c r="F19" s="27">
        <v>10</v>
      </c>
      <c r="G19" s="13"/>
      <c r="H19" s="31">
        <f>IFERROR((INDEX(DATOS!A:A, MATCH(VLOOKUP(D19, DATOS!A:J, IF(F19=10, 8, 10), FALSE) + E19, IF(F19=10, DATOS!H:H, DATOS!J:J), 1)))+7, "")</f>
        <v>46008</v>
      </c>
    </row>
    <row r="20" spans="2:8" x14ac:dyDescent="0.25">
      <c r="B20" s="25">
        <v>5</v>
      </c>
      <c r="C20" s="25" t="s">
        <v>9</v>
      </c>
      <c r="D20" s="24">
        <v>45930</v>
      </c>
      <c r="E20" s="26">
        <v>750</v>
      </c>
      <c r="F20" s="25">
        <v>10</v>
      </c>
      <c r="G20" s="13"/>
      <c r="H20" s="30">
        <f>IFERROR((INDEX(DATOS!A:A, MATCH(VLOOKUP(D20, DATOS!A:J, IF(F20=10, 8, 10), FALSE) + E20, IF(F20=10, DATOS!H:H, DATOS!J:J), 1)))+7, "")</f>
        <v>46009</v>
      </c>
    </row>
    <row r="21" spans="2:8" x14ac:dyDescent="0.25">
      <c r="B21" s="27">
        <v>6</v>
      </c>
      <c r="C21" s="27" t="s">
        <v>9</v>
      </c>
      <c r="D21" s="28">
        <v>45931</v>
      </c>
      <c r="E21" s="29">
        <v>850</v>
      </c>
      <c r="F21" s="27">
        <v>10</v>
      </c>
      <c r="G21" s="13"/>
      <c r="H21" s="31">
        <f>IFERROR((INDEX(DATOS!A:A, MATCH(VLOOKUP(D21, DATOS!A:J, IF(F21=10, 8, 10), FALSE) + E21, IF(F21=10, DATOS!H:H, DATOS!J:J), 1)))+7, "")</f>
        <v>46017</v>
      </c>
    </row>
    <row r="22" spans="2:8" x14ac:dyDescent="0.25">
      <c r="B22" s="25">
        <v>7</v>
      </c>
      <c r="C22" s="25" t="s">
        <v>9</v>
      </c>
      <c r="D22" s="24">
        <v>45931</v>
      </c>
      <c r="E22" s="26">
        <v>750</v>
      </c>
      <c r="F22" s="25">
        <v>10</v>
      </c>
      <c r="G22" s="13"/>
      <c r="H22" s="30">
        <f>IFERROR((INDEX(DATOS!A:A, MATCH(VLOOKUP(D22, DATOS!A:J, IF(F22=10, 8, 10), FALSE) + E22, IF(F22=10, DATOS!H:H, DATOS!J:J), 1)))+7, "")</f>
        <v>46009</v>
      </c>
    </row>
    <row r="23" spans="2:8" x14ac:dyDescent="0.25">
      <c r="B23" s="27">
        <v>8</v>
      </c>
      <c r="C23" s="27" t="s">
        <v>43</v>
      </c>
      <c r="D23" s="28">
        <v>45980</v>
      </c>
      <c r="E23" s="29">
        <v>750</v>
      </c>
      <c r="F23" s="27">
        <v>10</v>
      </c>
      <c r="G23" s="13"/>
      <c r="H23" s="31">
        <f>IFERROR((INDEX(DATOS!A:A, MATCH(VLOOKUP(D23, DATOS!A:J, IF(F23=10, 8, 10), FALSE) + E23, IF(F23=10, DATOS!H:H, DATOS!J:J), 1)))+7, "")</f>
        <v>46039</v>
      </c>
    </row>
    <row r="24" spans="2:8" x14ac:dyDescent="0.25">
      <c r="B24" s="25">
        <v>9</v>
      </c>
      <c r="C24" s="25" t="s">
        <v>44</v>
      </c>
      <c r="D24" s="24">
        <v>45987</v>
      </c>
      <c r="E24" s="26">
        <v>750</v>
      </c>
      <c r="F24" s="25">
        <v>10</v>
      </c>
      <c r="G24" s="13"/>
      <c r="H24" s="30">
        <f>IFERROR((INDEX(DATOS!A:A, MATCH(VLOOKUP(D24, DATOS!A:J, IF(F24=10, 8, 10), FALSE) + E24, IF(F24=10, DATOS!H:H, DATOS!J:J), 1)))+7, "")</f>
        <v>46044</v>
      </c>
    </row>
    <row r="25" spans="2:8" x14ac:dyDescent="0.25">
      <c r="B25" s="27">
        <v>10</v>
      </c>
      <c r="C25" s="27" t="s">
        <v>9</v>
      </c>
      <c r="D25" s="28">
        <v>45979</v>
      </c>
      <c r="E25" s="29">
        <v>750</v>
      </c>
      <c r="F25" s="27">
        <v>8</v>
      </c>
      <c r="G25" s="13"/>
      <c r="H25" s="31">
        <f>IFERROR((INDEX(DATOS!A:A, MATCH(VLOOKUP(D25, DATOS!A:J, IF(F25=10, 8, 10), FALSE) + E25, IF(F25=10, DATOS!H:H, DATOS!J:J), 1)))+7, "")</f>
        <v>46031</v>
      </c>
    </row>
    <row r="26" spans="2:8" x14ac:dyDescent="0.25">
      <c r="B26" s="25">
        <v>11</v>
      </c>
      <c r="C26" s="25" t="s">
        <v>45</v>
      </c>
      <c r="D26" s="24">
        <v>45983</v>
      </c>
      <c r="E26" s="26">
        <v>750</v>
      </c>
      <c r="F26" s="25">
        <v>10</v>
      </c>
      <c r="G26" s="13"/>
      <c r="H26" s="30">
        <f>IFERROR((INDEX(DATOS!A:A, MATCH(VLOOKUP(D26, DATOS!A:J, IF(F26=10, 8, 10), FALSE) + E26, IF(F26=10, DATOS!H:H, DATOS!J:J), 1)))+7, "")</f>
        <v>46041</v>
      </c>
    </row>
    <row r="27" spans="2:8" x14ac:dyDescent="0.25">
      <c r="B27" s="27">
        <v>12</v>
      </c>
      <c r="C27" s="27" t="s">
        <v>10</v>
      </c>
      <c r="D27" s="28">
        <v>45980</v>
      </c>
      <c r="E27" s="29">
        <v>750</v>
      </c>
      <c r="F27" s="27">
        <v>10</v>
      </c>
      <c r="G27" s="13"/>
      <c r="H27" s="31">
        <f>IFERROR((INDEX(DATOS!A:A, MATCH(VLOOKUP(D27, DATOS!A:J, IF(F27=10, 8, 10), FALSE) + E27, IF(F27=10, DATOS!H:H, DATOS!J:J), 1)))+7, "")</f>
        <v>46039</v>
      </c>
    </row>
    <row r="28" spans="2:8" x14ac:dyDescent="0.25">
      <c r="B28" s="25">
        <v>13</v>
      </c>
      <c r="C28" s="25" t="s">
        <v>46</v>
      </c>
      <c r="D28" s="24">
        <v>45993</v>
      </c>
      <c r="E28" s="26">
        <v>750</v>
      </c>
      <c r="F28" s="25">
        <v>10</v>
      </c>
      <c r="G28" s="13"/>
      <c r="H28" s="30">
        <f>IFERROR((INDEX(DATOS!A:A, MATCH(VLOOKUP(D28, DATOS!A:J, IF(F28=10, 8, 10), FALSE) + E28, IF(F28=10, DATOS!H:H, DATOS!J:J), 1)))+7, "")</f>
        <v>46050</v>
      </c>
    </row>
    <row r="29" spans="2:8" x14ac:dyDescent="0.25">
      <c r="B29" s="27">
        <v>14</v>
      </c>
      <c r="C29" s="27" t="s">
        <v>44</v>
      </c>
      <c r="D29" s="28">
        <v>45995</v>
      </c>
      <c r="E29" s="29">
        <v>750</v>
      </c>
      <c r="F29" s="27">
        <v>8</v>
      </c>
      <c r="G29" s="13"/>
      <c r="H29" s="31">
        <f>IFERROR((INDEX(DATOS!A:A, MATCH(VLOOKUP(D29, DATOS!A:J, IF(F29=10, 8, 10), FALSE) + E29, IF(F29=10, DATOS!H:H, DATOS!J:J), 1)))+7, "")</f>
        <v>46046</v>
      </c>
    </row>
    <row r="30" spans="2:8" x14ac:dyDescent="0.25">
      <c r="B30" s="25">
        <v>15</v>
      </c>
      <c r="C30" s="25" t="s">
        <v>42</v>
      </c>
      <c r="D30" s="24">
        <v>45987</v>
      </c>
      <c r="E30" s="26">
        <v>750</v>
      </c>
      <c r="F30" s="25">
        <v>8</v>
      </c>
      <c r="G30" s="13"/>
      <c r="H30" s="30">
        <f>IFERROR((INDEX(DATOS!A:A, MATCH(VLOOKUP(D30, DATOS!A:J, IF(F30=10, 8, 10), FALSE) + E30, IF(F30=10, DATOS!H:H, DATOS!J:J), 1)))+7, "")</f>
        <v>46039</v>
      </c>
    </row>
    <row r="31" spans="2:8" ht="3.75" customHeight="1" x14ac:dyDescent="0.25"/>
    <row r="32" spans="2:8" ht="15" customHeight="1" x14ac:dyDescent="0.25">
      <c r="B32" s="41" t="s">
        <v>31</v>
      </c>
      <c r="C32" s="42"/>
      <c r="D32" s="42"/>
      <c r="E32" s="42"/>
      <c r="F32" s="42"/>
      <c r="H32" s="57" t="s">
        <v>36</v>
      </c>
    </row>
    <row r="33" spans="1:15" x14ac:dyDescent="0.25">
      <c r="B33" s="43" t="s">
        <v>32</v>
      </c>
      <c r="C33" s="42"/>
      <c r="D33" s="42"/>
      <c r="E33" s="42"/>
      <c r="F33" s="42"/>
      <c r="H33" s="57"/>
    </row>
    <row r="34" spans="1:15" x14ac:dyDescent="0.25">
      <c r="B34" s="44" t="s">
        <v>28</v>
      </c>
      <c r="C34" s="42"/>
      <c r="D34" s="42"/>
      <c r="E34" s="42"/>
      <c r="F34" s="42"/>
      <c r="H34" s="57"/>
    </row>
    <row r="35" spans="1:15" x14ac:dyDescent="0.25">
      <c r="B35" s="44" t="s">
        <v>37</v>
      </c>
      <c r="C35" s="42"/>
      <c r="D35" s="42"/>
      <c r="E35" s="42"/>
      <c r="F35" s="42"/>
      <c r="H35" s="57"/>
    </row>
    <row r="36" spans="1:15" x14ac:dyDescent="0.25">
      <c r="B36" s="44" t="s">
        <v>29</v>
      </c>
      <c r="C36" s="42"/>
      <c r="D36" s="42"/>
      <c r="E36" s="42"/>
      <c r="F36" s="42"/>
      <c r="H36" s="57"/>
    </row>
    <row r="37" spans="1:15" x14ac:dyDescent="0.25">
      <c r="B37" s="44" t="s">
        <v>30</v>
      </c>
      <c r="C37" s="45"/>
      <c r="D37" s="46"/>
      <c r="E37" s="42"/>
      <c r="F37" s="42"/>
      <c r="H37" s="57"/>
    </row>
    <row r="38" spans="1:15" x14ac:dyDescent="0.25">
      <c r="B38" s="47"/>
      <c r="C38" s="48"/>
      <c r="D38" s="49"/>
      <c r="E38" s="50"/>
      <c r="F38" s="50"/>
      <c r="G38" s="50"/>
      <c r="H38" s="51"/>
      <c r="I38" s="33"/>
      <c r="J38" s="33"/>
      <c r="K38" s="33"/>
      <c r="L38" s="33"/>
      <c r="M38" s="33"/>
    </row>
    <row r="39" spans="1:15" x14ac:dyDescent="0.25"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</row>
    <row r="40" spans="1:15" x14ac:dyDescent="0.25"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</row>
    <row r="41" spans="1:15" x14ac:dyDescent="0.25">
      <c r="B41" s="33"/>
      <c r="C41" s="33"/>
      <c r="D41" s="33"/>
      <c r="E41" s="33"/>
      <c r="F41" s="33"/>
      <c r="G41" s="33"/>
      <c r="H41" s="33"/>
      <c r="I41" s="33"/>
      <c r="J41" s="33"/>
      <c r="K41" s="34"/>
      <c r="L41" s="33"/>
      <c r="M41" s="33"/>
    </row>
    <row r="42" spans="1:15" x14ac:dyDescent="0.25">
      <c r="B42" s="33"/>
      <c r="C42" s="33"/>
      <c r="D42" s="33"/>
      <c r="E42" s="33"/>
      <c r="F42" s="33"/>
      <c r="G42" s="33"/>
      <c r="H42" s="33"/>
      <c r="I42" s="33"/>
      <c r="J42" s="33"/>
      <c r="K42" s="34"/>
      <c r="L42" s="33"/>
      <c r="M42" s="33"/>
    </row>
    <row r="43" spans="1:15" x14ac:dyDescent="0.25"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</row>
    <row r="44" spans="1:15" x14ac:dyDescent="0.25"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</row>
    <row r="45" spans="1:15" x14ac:dyDescent="0.25">
      <c r="A45" s="20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20"/>
      <c r="O45" s="20"/>
    </row>
    <row r="46" spans="1:15" x14ac:dyDescent="0.25">
      <c r="A46" s="20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20"/>
      <c r="O46" s="20"/>
    </row>
    <row r="47" spans="1:15" x14ac:dyDescent="0.25">
      <c r="A47" s="20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20"/>
      <c r="O47" s="20"/>
    </row>
    <row r="48" spans="1:15" x14ac:dyDescent="0.25">
      <c r="A48" s="20"/>
      <c r="B48" s="36" t="s">
        <v>4</v>
      </c>
      <c r="C48" s="36" t="s">
        <v>5</v>
      </c>
      <c r="D48" s="37" t="s">
        <v>6</v>
      </c>
      <c r="E48" s="37" t="s">
        <v>7</v>
      </c>
      <c r="F48" s="37" t="s">
        <v>8</v>
      </c>
      <c r="G48" s="37"/>
      <c r="H48" s="37"/>
      <c r="I48" s="35"/>
      <c r="J48" s="35"/>
      <c r="K48" s="35"/>
      <c r="L48" s="35"/>
      <c r="M48" s="35"/>
      <c r="N48" s="20"/>
      <c r="O48" s="20"/>
    </row>
    <row r="49" spans="1:15" x14ac:dyDescent="0.25">
      <c r="A49" s="20"/>
      <c r="B49" s="38">
        <f>B16</f>
        <v>1</v>
      </c>
      <c r="C49" s="38" t="str">
        <f>C16</f>
        <v>AX 7761</v>
      </c>
      <c r="D49" s="39">
        <f>H16-3</f>
        <v>45988</v>
      </c>
      <c r="E49" s="40">
        <v>15</v>
      </c>
      <c r="F49" s="39">
        <v>45982</v>
      </c>
      <c r="G49" s="39"/>
      <c r="H49" s="40"/>
      <c r="I49" s="35"/>
      <c r="J49" s="35"/>
      <c r="K49" s="35"/>
      <c r="L49" s="35"/>
      <c r="M49" s="35"/>
      <c r="N49" s="20"/>
      <c r="O49" s="20"/>
    </row>
    <row r="50" spans="1:15" x14ac:dyDescent="0.25">
      <c r="A50" s="20"/>
      <c r="B50" s="38">
        <f t="shared" ref="B50:C63" si="0">B17</f>
        <v>2</v>
      </c>
      <c r="C50" s="38" t="str">
        <f t="shared" si="0"/>
        <v>NK 825</v>
      </c>
      <c r="D50" s="39">
        <f t="shared" ref="D50:D63" si="1">H17-3</f>
        <v>46001</v>
      </c>
      <c r="E50" s="40">
        <v>15</v>
      </c>
      <c r="F50" s="39">
        <v>46000</v>
      </c>
      <c r="G50" s="39"/>
      <c r="H50" s="40"/>
      <c r="I50" s="35"/>
      <c r="J50" s="35"/>
      <c r="K50" s="35"/>
      <c r="L50" s="35"/>
      <c r="M50" s="35"/>
      <c r="N50" s="20"/>
      <c r="O50" s="20"/>
    </row>
    <row r="51" spans="1:15" x14ac:dyDescent="0.25">
      <c r="A51" s="20"/>
      <c r="B51" s="38">
        <f t="shared" si="0"/>
        <v>3</v>
      </c>
      <c r="C51" s="38" t="str">
        <f t="shared" si="0"/>
        <v>DK 7447</v>
      </c>
      <c r="D51" s="39">
        <f t="shared" si="1"/>
        <v>46000</v>
      </c>
      <c r="E51" s="40">
        <v>15</v>
      </c>
      <c r="F51" s="39">
        <v>46014</v>
      </c>
      <c r="G51" s="39"/>
      <c r="H51" s="40"/>
      <c r="I51" s="35"/>
      <c r="J51" s="35"/>
      <c r="K51" s="35"/>
      <c r="L51" s="35"/>
      <c r="M51" s="35"/>
      <c r="N51" s="20"/>
      <c r="O51" s="20"/>
    </row>
    <row r="52" spans="1:15" x14ac:dyDescent="0.25">
      <c r="A52" s="20"/>
      <c r="B52" s="38">
        <f t="shared" si="0"/>
        <v>4</v>
      </c>
      <c r="C52" s="38" t="str">
        <f t="shared" si="0"/>
        <v>NK 870</v>
      </c>
      <c r="D52" s="39">
        <f t="shared" si="1"/>
        <v>46005</v>
      </c>
      <c r="E52" s="40">
        <v>15</v>
      </c>
      <c r="F52" s="39">
        <v>46008</v>
      </c>
      <c r="G52" s="39"/>
      <c r="H52" s="40"/>
      <c r="I52" s="35"/>
      <c r="J52" s="35"/>
      <c r="K52" s="35"/>
      <c r="L52" s="35"/>
      <c r="M52" s="35"/>
      <c r="N52" s="20"/>
      <c r="O52" s="20"/>
    </row>
    <row r="53" spans="1:15" x14ac:dyDescent="0.25">
      <c r="A53" s="20"/>
      <c r="B53" s="38">
        <f t="shared" si="0"/>
        <v>5</v>
      </c>
      <c r="C53" s="38" t="str">
        <f t="shared" si="0"/>
        <v>DK 7272</v>
      </c>
      <c r="D53" s="39">
        <f t="shared" si="1"/>
        <v>46006</v>
      </c>
      <c r="E53" s="40">
        <v>15</v>
      </c>
      <c r="F53" s="39">
        <v>46009</v>
      </c>
      <c r="G53" s="39"/>
      <c r="H53" s="40"/>
      <c r="I53" s="35"/>
      <c r="J53" s="35"/>
      <c r="K53" s="35"/>
      <c r="L53" s="35"/>
      <c r="M53" s="35"/>
      <c r="N53" s="20"/>
      <c r="O53" s="20"/>
    </row>
    <row r="54" spans="1:15" x14ac:dyDescent="0.25">
      <c r="A54" s="20"/>
      <c r="B54" s="38">
        <f t="shared" si="0"/>
        <v>6</v>
      </c>
      <c r="C54" s="38" t="str">
        <f t="shared" si="0"/>
        <v>DK 7272</v>
      </c>
      <c r="D54" s="39">
        <f t="shared" si="1"/>
        <v>46014</v>
      </c>
      <c r="E54" s="40">
        <v>15</v>
      </c>
      <c r="F54" s="39">
        <v>46010</v>
      </c>
      <c r="G54" s="39"/>
      <c r="H54" s="40"/>
      <c r="I54" s="35"/>
      <c r="J54" s="35"/>
      <c r="K54" s="35"/>
      <c r="L54" s="35"/>
      <c r="M54" s="35"/>
      <c r="N54" s="20"/>
      <c r="O54" s="20"/>
    </row>
    <row r="55" spans="1:15" x14ac:dyDescent="0.25">
      <c r="A55" s="20"/>
      <c r="B55" s="38">
        <f t="shared" si="0"/>
        <v>7</v>
      </c>
      <c r="C55" s="38" t="str">
        <f t="shared" si="0"/>
        <v>DK 7272</v>
      </c>
      <c r="D55" s="39">
        <f t="shared" si="1"/>
        <v>46006</v>
      </c>
      <c r="E55" s="40">
        <v>15</v>
      </c>
      <c r="F55" s="39">
        <v>46010</v>
      </c>
      <c r="G55" s="39"/>
      <c r="H55" s="40"/>
      <c r="I55" s="35"/>
      <c r="J55" s="35"/>
      <c r="K55" s="35"/>
      <c r="L55" s="35"/>
      <c r="M55" s="35"/>
      <c r="N55" s="20"/>
      <c r="O55" s="20"/>
    </row>
    <row r="56" spans="1:15" x14ac:dyDescent="0.25">
      <c r="A56" s="20"/>
      <c r="B56" s="38">
        <f t="shared" si="0"/>
        <v>8</v>
      </c>
      <c r="C56" s="38" t="str">
        <f t="shared" si="0"/>
        <v>DOU 225 PWU</v>
      </c>
      <c r="D56" s="39">
        <f t="shared" si="1"/>
        <v>46036</v>
      </c>
      <c r="E56" s="40">
        <v>15</v>
      </c>
      <c r="F56" s="39">
        <v>46062</v>
      </c>
      <c r="G56" s="39"/>
      <c r="H56" s="40"/>
      <c r="I56" s="35"/>
      <c r="J56" s="35"/>
      <c r="K56" s="35"/>
      <c r="L56" s="35"/>
      <c r="M56" s="35"/>
      <c r="N56" s="20"/>
      <c r="O56" s="20"/>
    </row>
    <row r="57" spans="1:15" x14ac:dyDescent="0.25">
      <c r="A57" s="20"/>
      <c r="B57" s="38">
        <f t="shared" si="0"/>
        <v>9</v>
      </c>
      <c r="C57" s="38" t="str">
        <f t="shared" si="0"/>
        <v>NS 7921</v>
      </c>
      <c r="D57" s="39">
        <f t="shared" si="1"/>
        <v>46041</v>
      </c>
      <c r="E57" s="40">
        <v>15</v>
      </c>
      <c r="F57" s="39">
        <v>46074</v>
      </c>
      <c r="G57" s="39"/>
      <c r="H57" s="40"/>
      <c r="I57" s="35"/>
      <c r="J57" s="35"/>
      <c r="K57" s="35"/>
      <c r="L57" s="35"/>
      <c r="M57" s="35"/>
      <c r="N57" s="20"/>
      <c r="O57" s="20"/>
    </row>
    <row r="58" spans="1:15" x14ac:dyDescent="0.25">
      <c r="A58" s="20"/>
      <c r="B58" s="38">
        <f t="shared" si="0"/>
        <v>10</v>
      </c>
      <c r="C58" s="38" t="str">
        <f t="shared" si="0"/>
        <v>DK 7272</v>
      </c>
      <c r="D58" s="39">
        <f t="shared" si="1"/>
        <v>46028</v>
      </c>
      <c r="E58" s="40">
        <v>15</v>
      </c>
      <c r="F58" s="39">
        <v>46058</v>
      </c>
      <c r="G58" s="39"/>
      <c r="H58" s="40"/>
      <c r="I58" s="35"/>
      <c r="J58" s="35"/>
      <c r="K58" s="35"/>
      <c r="L58" s="35"/>
      <c r="M58" s="35"/>
      <c r="N58" s="20"/>
      <c r="O58" s="20"/>
    </row>
    <row r="59" spans="1:15" x14ac:dyDescent="0.25">
      <c r="A59" s="20"/>
      <c r="B59" s="38">
        <f t="shared" si="0"/>
        <v>11</v>
      </c>
      <c r="C59" s="38" t="str">
        <f t="shared" si="0"/>
        <v>BRV 8421</v>
      </c>
      <c r="D59" s="39">
        <f t="shared" si="1"/>
        <v>46038</v>
      </c>
      <c r="E59" s="40">
        <v>15</v>
      </c>
      <c r="F59" s="39">
        <v>46065</v>
      </c>
      <c r="G59" s="39"/>
      <c r="H59" s="40"/>
      <c r="I59" s="35"/>
      <c r="J59" s="35"/>
      <c r="K59" s="35"/>
      <c r="L59" s="35"/>
      <c r="M59" s="35"/>
      <c r="N59" s="20"/>
      <c r="O59" s="20"/>
    </row>
    <row r="60" spans="1:15" x14ac:dyDescent="0.25">
      <c r="A60" s="20"/>
      <c r="B60" s="38">
        <f t="shared" si="0"/>
        <v>12</v>
      </c>
      <c r="C60" s="38" t="str">
        <f t="shared" si="0"/>
        <v>BRV 8380</v>
      </c>
      <c r="D60" s="39">
        <f t="shared" si="1"/>
        <v>46036</v>
      </c>
      <c r="E60" s="40">
        <v>15</v>
      </c>
      <c r="F60" s="39">
        <v>46062</v>
      </c>
      <c r="G60" s="39"/>
      <c r="H60" s="40"/>
      <c r="I60" s="35"/>
      <c r="J60" s="35"/>
      <c r="K60" s="35"/>
      <c r="L60" s="35"/>
      <c r="M60" s="35"/>
      <c r="N60" s="20"/>
      <c r="O60" s="20"/>
    </row>
    <row r="61" spans="1:15" x14ac:dyDescent="0.25">
      <c r="A61" s="20"/>
      <c r="B61" s="38">
        <f t="shared" si="0"/>
        <v>13</v>
      </c>
      <c r="C61" s="38" t="str">
        <f t="shared" si="0"/>
        <v>NS 7921- DK 7272</v>
      </c>
      <c r="D61" s="39">
        <f t="shared" si="1"/>
        <v>46047</v>
      </c>
      <c r="E61" s="40">
        <v>15</v>
      </c>
      <c r="F61" s="39">
        <v>46080</v>
      </c>
      <c r="G61" s="39"/>
      <c r="H61" s="40"/>
      <c r="I61" s="35"/>
      <c r="J61" s="35"/>
      <c r="K61" s="35"/>
      <c r="L61" s="35"/>
      <c r="M61" s="35"/>
      <c r="N61" s="20"/>
      <c r="O61" s="20"/>
    </row>
    <row r="62" spans="1:15" x14ac:dyDescent="0.25">
      <c r="A62" s="20"/>
      <c r="B62" s="38">
        <f t="shared" si="0"/>
        <v>14</v>
      </c>
      <c r="C62" s="38" t="str">
        <f t="shared" si="0"/>
        <v>NS 7921</v>
      </c>
      <c r="D62" s="39">
        <f t="shared" si="1"/>
        <v>46043</v>
      </c>
      <c r="E62" s="40">
        <v>15</v>
      </c>
      <c r="F62" s="39">
        <v>46082</v>
      </c>
      <c r="G62" s="39"/>
      <c r="H62" s="40"/>
      <c r="I62" s="35"/>
      <c r="J62" s="35"/>
      <c r="K62" s="35"/>
      <c r="L62" s="35"/>
      <c r="M62" s="35"/>
      <c r="N62" s="20"/>
      <c r="O62" s="20"/>
    </row>
    <row r="63" spans="1:15" x14ac:dyDescent="0.25">
      <c r="A63" s="20"/>
      <c r="B63" s="38">
        <f t="shared" si="0"/>
        <v>15</v>
      </c>
      <c r="C63" s="38" t="str">
        <f t="shared" si="0"/>
        <v>NK 870</v>
      </c>
      <c r="D63" s="39">
        <f t="shared" si="1"/>
        <v>46036</v>
      </c>
      <c r="E63" s="40">
        <v>15</v>
      </c>
      <c r="F63" s="39">
        <v>46069</v>
      </c>
      <c r="G63" s="39"/>
      <c r="H63" s="40"/>
      <c r="I63" s="35"/>
      <c r="J63" s="35"/>
      <c r="K63" s="35"/>
      <c r="L63" s="35"/>
      <c r="M63" s="35"/>
      <c r="N63" s="20"/>
      <c r="O63" s="20"/>
    </row>
    <row r="64" spans="1:15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</row>
    <row r="65" spans="1:15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</row>
    <row r="66" spans="1:15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</row>
    <row r="67" spans="1:15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</row>
    <row r="68" spans="1:15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</row>
    <row r="69" spans="1:15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</row>
    <row r="70" spans="1:15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1">
        <f>L70</f>
        <v>45963</v>
      </c>
      <c r="L70" s="20">
        <v>45963</v>
      </c>
      <c r="M70" s="20"/>
      <c r="N70" s="20"/>
      <c r="O70" s="20"/>
    </row>
    <row r="71" spans="1:15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1">
        <v>45931</v>
      </c>
      <c r="L71" s="22">
        <f>K71</f>
        <v>45931</v>
      </c>
      <c r="M71" s="20"/>
      <c r="N71" s="20"/>
      <c r="O71" s="20"/>
    </row>
    <row r="72" spans="1:15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1">
        <v>46095</v>
      </c>
      <c r="L72" s="22">
        <f>K72</f>
        <v>46095</v>
      </c>
      <c r="M72" s="20"/>
      <c r="N72" s="20"/>
      <c r="O72" s="20"/>
    </row>
    <row r="73" spans="1:15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</row>
  </sheetData>
  <sheetProtection algorithmName="SHA-512" hashValue="9PvWz90Oj3kj5cqbiVHAbJRUrgJZCKqMGyzzKf0nR7Xkz5K7x3URnT1+dSAa/TVuBuAX80RlIDBlfW8ztECdOA==" saltValue="3+RLh3RvXfDkiiHjEDS9PA==" spinCount="100000" sheet="1" objects="1" scenarios="1"/>
  <mergeCells count="5">
    <mergeCell ref="C12:D12"/>
    <mergeCell ref="C7:D7"/>
    <mergeCell ref="G8:H11"/>
    <mergeCell ref="G12:H12"/>
    <mergeCell ref="H32:H37"/>
  </mergeCells>
  <dataValidations count="1">
    <dataValidation type="list" allowBlank="1" showInputMessage="1" showErrorMessage="1" errorTitle="ERROR" error="Solo 8 ó 10" sqref="F16:G30">
      <formula1>"8, 10"</formula1>
    </dataValidation>
  </dataValidation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BCE7E8-F4CA-4FC1-B357-593945E1A9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</vt:lpstr>
      <vt:lpstr>Analisis Siembra MZ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Zarate Nicolas</dc:creator>
  <cp:lastModifiedBy>Zarate Nicolas</cp:lastModifiedBy>
  <cp:lastPrinted>2026-07-23T18:22:45Z</cp:lastPrinted>
  <dcterms:created xsi:type="dcterms:W3CDTF">2026-07-22T20:10:26Z</dcterms:created>
  <dcterms:modified xsi:type="dcterms:W3CDTF">2026-08-07T20:12:12Z</dcterms:modified>
</cp:coreProperties>
</file>